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bartarhw\Downloads\"/>
    </mc:Choice>
  </mc:AlternateContent>
  <xr:revisionPtr revIDLastSave="0" documentId="8_{4C079F53-0B80-4DFC-8070-696CC632EC31}" xr6:coauthVersionLast="47" xr6:coauthVersionMax="47" xr10:uidLastSave="{00000000-0000-0000-0000-000000000000}"/>
  <bookViews>
    <workbookView xWindow="-110" yWindow="-110" windowWidth="19420" windowHeight="10300" activeTab="2" xr2:uid="{4FAE29AA-6E4F-4A6A-BD32-65D03CFEDC6C}"/>
  </bookViews>
  <sheets>
    <sheet name="Order" sheetId="1" r:id="rId1"/>
    <sheet name="Analaysis" sheetId="2" r:id="rId2"/>
    <sheet name="Dashboard" sheetId="3" r:id="rId3"/>
    <sheet name="pivot_product" sheetId="4" r:id="rId4"/>
    <sheet name="pivot_profit" sheetId="5" r:id="rId5"/>
    <sheet name="pivot_revnue" sheetId="7" r:id="rId6"/>
  </sheets>
  <definedNames>
    <definedName name="_xlnm.Print_Area" localSheetId="2">Dashboard!$A$1:$R$26</definedName>
    <definedName name="Slicer_Product">#N/A</definedName>
  </definedNames>
  <calcPr calcId="191029"/>
  <pivotCaches>
    <pivotCache cacheId="1"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3" l="1"/>
  <c r="E5" i="2"/>
  <c r="E4" i="2"/>
  <c r="E3" i="2"/>
  <c r="E2" i="2"/>
  <c r="J5" i="3"/>
  <c r="D5" i="3"/>
  <c r="B5" i="2"/>
  <c r="F5" i="3"/>
  <c r="B4" i="2"/>
  <c r="B6" i="2"/>
  <c r="B3" i="2"/>
  <c r="B2" i="2"/>
</calcChain>
</file>

<file path=xl/sharedStrings.xml><?xml version="1.0" encoding="utf-8"?>
<sst xmlns="http://schemas.openxmlformats.org/spreadsheetml/2006/main" count="86" uniqueCount="37">
  <si>
    <t>Order_ID</t>
  </si>
  <si>
    <t>Order_Date</t>
  </si>
  <si>
    <t>Product</t>
  </si>
  <si>
    <t>Quantity</t>
  </si>
  <si>
    <t>Unit_Price</t>
  </si>
  <si>
    <t>Revenue</t>
  </si>
  <si>
    <t>Total_Cost</t>
  </si>
  <si>
    <t>Profit</t>
  </si>
  <si>
    <t>Profit_Margin</t>
  </si>
  <si>
    <t>Laptop 1</t>
  </si>
  <si>
    <t>Laptop 2</t>
  </si>
  <si>
    <t>Laptop 3</t>
  </si>
  <si>
    <t>Mouse</t>
  </si>
  <si>
    <t>Keyboard</t>
  </si>
  <si>
    <t>Monitor</t>
  </si>
  <si>
    <t>33.33%</t>
  </si>
  <si>
    <t>Headphones</t>
  </si>
  <si>
    <t>37.5%</t>
  </si>
  <si>
    <t>KPI</t>
  </si>
  <si>
    <t>Value</t>
  </si>
  <si>
    <t>Total Revenue</t>
  </si>
  <si>
    <t>Total Cost</t>
  </si>
  <si>
    <t>Total Profit</t>
  </si>
  <si>
    <t>Profit Margin</t>
  </si>
  <si>
    <t>Total Orders</t>
  </si>
  <si>
    <t>E-commerce Sales &amp; Profitability Dashboard</t>
  </si>
  <si>
    <t>Row Labels</t>
  </si>
  <si>
    <t>Grand Total</t>
  </si>
  <si>
    <t>Sum of Profit</t>
  </si>
  <si>
    <t>Sum of Revenue</t>
  </si>
  <si>
    <t>KEY  INSIGHTS</t>
  </si>
  <si>
    <t>1. Top Revenue Product     laptop</t>
  </si>
  <si>
    <t>2. Top Profit Product        laptop</t>
  </si>
  <si>
    <t>3.  Best Profit Margin</t>
  </si>
  <si>
    <t>Month</t>
  </si>
  <si>
    <t>it margin</t>
  </si>
  <si>
    <t xml:space="preserve">   mouse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</si>
</sst>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B1mmm\-yy"/>
  </numFmts>
  <fonts count="12" x14ac:knownFonts="1">
    <font>
      <sz val="11"/>
      <color theme="1"/>
      <name val="Calibri"/>
      <family val="2"/>
      <charset val="178"/>
      <scheme val="minor"/>
    </font>
    <font>
      <sz val="16"/>
      <color theme="1"/>
      <name val="Arial Rounded MT Bold"/>
      <family val="2"/>
    </font>
    <font>
      <sz val="11"/>
      <color theme="1"/>
      <name val="Comic Sans MS"/>
      <family val="4"/>
    </font>
    <font>
      <sz val="14"/>
      <color theme="1"/>
      <name val="Comic Sans MS"/>
      <family val="4"/>
    </font>
    <font>
      <sz val="14"/>
      <color theme="1"/>
      <name val="Calibri"/>
      <family val="2"/>
      <charset val="178"/>
      <scheme val="minor"/>
    </font>
    <font>
      <b/>
      <sz val="11"/>
      <color theme="1"/>
      <name val="Calibri"/>
      <family val="2"/>
      <charset val="178"/>
      <scheme val="minor"/>
    </font>
    <font>
      <sz val="14"/>
      <color theme="2"/>
      <name val="Comic Sans MS"/>
      <family val="4"/>
    </font>
    <font>
      <sz val="14"/>
      <color theme="2"/>
      <name val="Calibri"/>
      <family val="2"/>
      <charset val="178"/>
      <scheme val="minor"/>
    </font>
    <font>
      <sz val="16"/>
      <color rgb="FF000000"/>
      <name val="Comic Sans MS"/>
      <family val="4"/>
    </font>
    <font>
      <sz val="16"/>
      <color theme="1"/>
      <name val="Calibri"/>
      <family val="2"/>
      <charset val="178"/>
      <scheme val="minor"/>
    </font>
    <font>
      <sz val="16"/>
      <color theme="1"/>
      <name val="Comic Sans MS"/>
      <family val="4"/>
    </font>
    <font>
      <sz val="18"/>
      <color rgb="FF000000"/>
      <name val="Comic Sans MS"/>
      <family val="4"/>
    </font>
  </fonts>
  <fills count="11">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4" tint="-0.499984740745262"/>
        <bgColor indexed="64"/>
      </patternFill>
    </fill>
    <fill>
      <patternFill patternType="solid">
        <fgColor theme="8" tint="0.39997558519241921"/>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0" fontId="3" fillId="3" borderId="0">
      <alignment horizontal="center"/>
    </xf>
    <xf numFmtId="0" fontId="3" fillId="3" borderId="0">
      <alignment horizontal="center"/>
    </xf>
  </cellStyleXfs>
  <cellXfs count="39">
    <xf numFmtId="0" fontId="0" fillId="0" borderId="0" xfId="0"/>
    <xf numFmtId="14" fontId="0" fillId="0" borderId="0" xfId="0" applyNumberFormat="1"/>
    <xf numFmtId="9" fontId="0" fillId="0" borderId="0" xfId="0" applyNumberFormat="1"/>
    <xf numFmtId="0" fontId="0" fillId="0" borderId="0" xfId="0" pivotButton="1"/>
    <xf numFmtId="0" fontId="0" fillId="0" borderId="0" xfId="0" applyAlignment="1">
      <alignment horizontal="left"/>
    </xf>
    <xf numFmtId="0" fontId="2" fillId="5" borderId="0" xfId="0" applyFont="1" applyFill="1"/>
    <xf numFmtId="0" fontId="0" fillId="5" borderId="0" xfId="0" applyFill="1"/>
    <xf numFmtId="0" fontId="3" fillId="4" borderId="0" xfId="0" applyFont="1" applyFill="1"/>
    <xf numFmtId="0" fontId="3" fillId="5" borderId="0" xfId="0" applyFont="1" applyFill="1"/>
    <xf numFmtId="0" fontId="4" fillId="4" borderId="0" xfId="0" applyFont="1" applyFill="1"/>
    <xf numFmtId="9" fontId="4" fillId="5" borderId="0" xfId="0" applyNumberFormat="1" applyFont="1" applyFill="1"/>
    <xf numFmtId="0" fontId="1" fillId="6" borderId="0" xfId="0" applyFont="1" applyFill="1" applyAlignment="1">
      <alignment horizontal="center"/>
    </xf>
    <xf numFmtId="0" fontId="0" fillId="2" borderId="0" xfId="0" applyFill="1"/>
    <xf numFmtId="0" fontId="3" fillId="8" borderId="0" xfId="0" applyFont="1" applyFill="1" applyAlignment="1">
      <alignment horizontal="center"/>
    </xf>
    <xf numFmtId="0" fontId="6" fillId="8" borderId="0" xfId="0" applyFont="1" applyFill="1"/>
    <xf numFmtId="0" fontId="6" fillId="2" borderId="0" xfId="0" applyFont="1" applyFill="1"/>
    <xf numFmtId="0" fontId="3" fillId="2" borderId="0" xfId="0" applyFont="1" applyFill="1" applyAlignment="1">
      <alignment horizontal="center"/>
    </xf>
    <xf numFmtId="0" fontId="8" fillId="0" borderId="1" xfId="0" applyFont="1" applyBorder="1"/>
    <xf numFmtId="0" fontId="9" fillId="0" borderId="1" xfId="0" applyFont="1" applyBorder="1"/>
    <xf numFmtId="0" fontId="10" fillId="0" borderId="1" xfId="0" applyFont="1" applyBorder="1"/>
    <xf numFmtId="0" fontId="5" fillId="0" borderId="0" xfId="0" applyFont="1" applyAlignment="1">
      <alignment horizontal="center" vertical="center" wrapText="1"/>
    </xf>
    <xf numFmtId="0" fontId="0" fillId="0" borderId="0" xfId="0" applyAlignment="1">
      <alignment horizontal="right" vertical="center" wrapText="1"/>
    </xf>
    <xf numFmtId="0" fontId="5" fillId="0" borderId="0" xfId="0" applyFont="1" applyAlignment="1">
      <alignment horizontal="right" vertical="center" wrapText="1"/>
    </xf>
    <xf numFmtId="164" fontId="0" fillId="0" borderId="0" xfId="0" applyNumberFormat="1" applyAlignment="1">
      <alignment vertical="center" wrapText="1"/>
    </xf>
    <xf numFmtId="0" fontId="11" fillId="9" borderId="1" xfId="0" applyFont="1" applyFill="1" applyBorder="1" applyAlignment="1">
      <alignment horizontal="center"/>
    </xf>
    <xf numFmtId="0" fontId="1" fillId="6" borderId="0" xfId="0" applyFont="1" applyFill="1" applyAlignment="1">
      <alignment horizontal="center"/>
    </xf>
    <xf numFmtId="0" fontId="7" fillId="2" borderId="0" xfId="0" applyFont="1" applyFill="1" applyAlignment="1">
      <alignment horizontal="center"/>
    </xf>
    <xf numFmtId="0" fontId="3" fillId="7" borderId="0" xfId="0" applyFont="1" applyFill="1" applyAlignment="1">
      <alignment horizontal="center"/>
    </xf>
    <xf numFmtId="0" fontId="4" fillId="7" borderId="0" xfId="0" applyFont="1" applyFill="1" applyAlignment="1">
      <alignment horizontal="center"/>
    </xf>
    <xf numFmtId="0" fontId="7" fillId="8" borderId="0" xfId="0" applyFont="1" applyFill="1" applyAlignment="1">
      <alignment horizontal="center"/>
    </xf>
    <xf numFmtId="0" fontId="10" fillId="0" borderId="2" xfId="0" applyFont="1" applyBorder="1" applyAlignment="1">
      <alignment horizontal="center"/>
    </xf>
    <xf numFmtId="0" fontId="0" fillId="10" borderId="4" xfId="0" applyFill="1" applyBorder="1"/>
    <xf numFmtId="0" fontId="0" fillId="10" borderId="3" xfId="0" applyFill="1" applyBorder="1"/>
    <xf numFmtId="0" fontId="3" fillId="10" borderId="5" xfId="0" applyFont="1" applyFill="1" applyBorder="1"/>
    <xf numFmtId="0" fontId="0" fillId="10" borderId="2" xfId="0" applyFill="1" applyBorder="1"/>
    <xf numFmtId="0" fontId="0" fillId="10" borderId="6" xfId="0" applyFill="1" applyBorder="1"/>
    <xf numFmtId="0" fontId="11" fillId="9" borderId="2" xfId="0" applyFont="1" applyFill="1" applyBorder="1" applyAlignment="1">
      <alignment horizontal="center"/>
    </xf>
    <xf numFmtId="0" fontId="0" fillId="10" borderId="7" xfId="0" applyFill="1" applyBorder="1"/>
    <xf numFmtId="0" fontId="0" fillId="9" borderId="3" xfId="0" applyFill="1" applyBorder="1"/>
  </cellXfs>
  <cellStyles count="3">
    <cellStyle name="Normal" xfId="0" builtinId="0"/>
    <cellStyle name="Style 1" xfId="1" xr:uid="{DD215B4D-2FAB-4CCD-A40E-29D6FBBD18D7}"/>
    <cellStyle name="Style 2" xfId="2" xr:uid="{F408AB6B-525E-4B8E-A815-64D9B291D5FB}"/>
  </cellStyles>
  <dxfs count="2">
    <dxf>
      <numFmt numFmtId="1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[Ecommerce_Sales_Analysis.xlsx]pivot_product!PivotTable3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en-US" b="1">
                <a:solidFill>
                  <a:srgbClr val="002060"/>
                </a:solidFill>
              </a:rPr>
              <a:t> Revenue by Product</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pivot_product!$B$3</c:f>
              <c:strCache>
                <c:ptCount val="1"/>
                <c:pt idx="0">
                  <c:v>Sum of Revenue</c:v>
                </c:pt>
              </c:strCache>
            </c:strRef>
          </c:tx>
          <c:spPr>
            <a:solidFill>
              <a:schemeClr val="accent1">
                <a:lumMod val="50000"/>
              </a:schemeClr>
            </a:solidFill>
            <a:ln>
              <a:noFill/>
            </a:ln>
            <a:effectLst/>
          </c:spPr>
          <c:invertIfNegative val="0"/>
          <c:cat>
            <c:strRef>
              <c:f>pivot_product!$A$4:$A$11</c:f>
              <c:strCache>
                <c:ptCount val="7"/>
                <c:pt idx="0">
                  <c:v>Headphones</c:v>
                </c:pt>
                <c:pt idx="1">
                  <c:v>Keyboard</c:v>
                </c:pt>
                <c:pt idx="2">
                  <c:v>Laptop 1</c:v>
                </c:pt>
                <c:pt idx="3">
                  <c:v>Laptop 2</c:v>
                </c:pt>
                <c:pt idx="4">
                  <c:v>Laptop 3</c:v>
                </c:pt>
                <c:pt idx="5">
                  <c:v>Monitor</c:v>
                </c:pt>
                <c:pt idx="6">
                  <c:v>Mouse</c:v>
                </c:pt>
              </c:strCache>
            </c:strRef>
          </c:cat>
          <c:val>
            <c:numRef>
              <c:f>pivot_product!$B$4:$B$11</c:f>
              <c:numCache>
                <c:formatCode>General</c:formatCode>
                <c:ptCount val="7"/>
                <c:pt idx="0">
                  <c:v>960</c:v>
                </c:pt>
                <c:pt idx="1">
                  <c:v>600</c:v>
                </c:pt>
                <c:pt idx="2">
                  <c:v>2000</c:v>
                </c:pt>
                <c:pt idx="3">
                  <c:v>3600</c:v>
                </c:pt>
                <c:pt idx="4">
                  <c:v>2250</c:v>
                </c:pt>
                <c:pt idx="5">
                  <c:v>1350</c:v>
                </c:pt>
                <c:pt idx="6">
                  <c:v>600</c:v>
                </c:pt>
              </c:numCache>
            </c:numRef>
          </c:val>
          <c:extLst>
            <c:ext xmlns:c16="http://schemas.microsoft.com/office/drawing/2014/chart" uri="{C3380CC4-5D6E-409C-BE32-E72D297353CC}">
              <c16:uniqueId val="{00000000-58F1-47EF-82C8-9FB0C76D728F}"/>
            </c:ext>
          </c:extLst>
        </c:ser>
        <c:ser>
          <c:idx val="1"/>
          <c:order val="1"/>
          <c:tx>
            <c:strRef>
              <c:f>pivot_product!$C$3</c:f>
              <c:strCache>
                <c:ptCount val="1"/>
                <c:pt idx="0">
                  <c:v>Sum of Profit</c:v>
                </c:pt>
              </c:strCache>
            </c:strRef>
          </c:tx>
          <c:spPr>
            <a:solidFill>
              <a:schemeClr val="accent5">
                <a:lumMod val="60000"/>
                <a:lumOff val="40000"/>
              </a:schemeClr>
            </a:solidFill>
            <a:ln>
              <a:noFill/>
            </a:ln>
            <a:effectLst/>
          </c:spPr>
          <c:invertIfNegative val="0"/>
          <c:cat>
            <c:strRef>
              <c:f>pivot_product!$A$4:$A$11</c:f>
              <c:strCache>
                <c:ptCount val="7"/>
                <c:pt idx="0">
                  <c:v>Headphones</c:v>
                </c:pt>
                <c:pt idx="1">
                  <c:v>Keyboard</c:v>
                </c:pt>
                <c:pt idx="2">
                  <c:v>Laptop 1</c:v>
                </c:pt>
                <c:pt idx="3">
                  <c:v>Laptop 2</c:v>
                </c:pt>
                <c:pt idx="4">
                  <c:v>Laptop 3</c:v>
                </c:pt>
                <c:pt idx="5">
                  <c:v>Monitor</c:v>
                </c:pt>
                <c:pt idx="6">
                  <c:v>Mouse</c:v>
                </c:pt>
              </c:strCache>
            </c:strRef>
          </c:cat>
          <c:val>
            <c:numRef>
              <c:f>pivot_product!$C$4:$C$11</c:f>
              <c:numCache>
                <c:formatCode>General</c:formatCode>
                <c:ptCount val="7"/>
                <c:pt idx="0">
                  <c:v>360</c:v>
                </c:pt>
                <c:pt idx="1">
                  <c:v>240</c:v>
                </c:pt>
                <c:pt idx="2">
                  <c:v>600</c:v>
                </c:pt>
                <c:pt idx="3">
                  <c:v>900</c:v>
                </c:pt>
                <c:pt idx="4">
                  <c:v>675</c:v>
                </c:pt>
                <c:pt idx="5">
                  <c:v>450</c:v>
                </c:pt>
                <c:pt idx="6">
                  <c:v>300</c:v>
                </c:pt>
              </c:numCache>
            </c:numRef>
          </c:val>
          <c:extLst>
            <c:ext xmlns:c16="http://schemas.microsoft.com/office/drawing/2014/chart" uri="{C3380CC4-5D6E-409C-BE32-E72D297353CC}">
              <c16:uniqueId val="{00000001-58F1-47EF-82C8-9FB0C76D728F}"/>
            </c:ext>
          </c:extLst>
        </c:ser>
        <c:dLbls>
          <c:showLegendKey val="0"/>
          <c:showVal val="0"/>
          <c:showCatName val="0"/>
          <c:showSerName val="0"/>
          <c:showPercent val="0"/>
          <c:showBubbleSize val="0"/>
        </c:dLbls>
        <c:gapWidth val="219"/>
        <c:overlap val="-27"/>
        <c:axId val="358606735"/>
        <c:axId val="16673615"/>
      </c:barChart>
      <c:catAx>
        <c:axId val="35860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3615"/>
        <c:crosses val="autoZero"/>
        <c:auto val="1"/>
        <c:lblAlgn val="ctr"/>
        <c:lblOffset val="100"/>
        <c:noMultiLvlLbl val="0"/>
      </c:catAx>
      <c:valAx>
        <c:axId val="16673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0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[Ecommerce_Sales_Analysis.xlsx]pivot_profit!PivotTable4</c:name>
    <c:fmtId val="3"/>
  </c:pivotSource>
  <c:chart>
    <c:title>
      <c:tx>
        <c:rich>
          <a:bodyPr rot="0" spcFirstLastPara="1" vertOverflow="ellipsis" vert="horz" wrap="square" anchor="ctr" anchorCtr="1"/>
          <a:lstStyle/>
          <a:p>
            <a:pPr>
              <a:defRPr sz="1600" b="1" i="0" u="none" strike="noStrike" kern="1200" cap="none" spc="50" normalizeH="0" baseline="0">
                <a:solidFill>
                  <a:srgbClr val="002060"/>
                </a:solidFill>
                <a:latin typeface="+mn-lt"/>
                <a:ea typeface="+mj-ea"/>
                <a:cs typeface="+mj-cs"/>
              </a:defRPr>
            </a:pPr>
            <a:r>
              <a:rPr lang="en-US" b="1">
                <a:solidFill>
                  <a:srgbClr val="002060"/>
                </a:solidFill>
                <a:latin typeface="+mn-lt"/>
              </a:rPr>
              <a:t> Profit by Product</a:t>
            </a:r>
          </a:p>
          <a:p>
            <a:pPr>
              <a:defRPr b="1">
                <a:solidFill>
                  <a:srgbClr val="002060"/>
                </a:solidFill>
                <a:latin typeface="+mn-lt"/>
              </a:defRPr>
            </a:pPr>
            <a:endParaRPr lang="en-US" b="1">
              <a:solidFill>
                <a:srgbClr val="002060"/>
              </a:solidFill>
              <a:latin typeface="+mn-lt"/>
            </a:endParaRPr>
          </a:p>
        </c:rich>
      </c:tx>
      <c:layout>
        <c:manualLayout>
          <c:xMode val="edge"/>
          <c:yMode val="edge"/>
          <c:x val="0.35395822397200349"/>
          <c:y val="5.9164479440069993E-2"/>
        </c:manualLayout>
      </c:layout>
      <c:overlay val="0"/>
      <c:spPr>
        <a:noFill/>
        <a:ln>
          <a:noFill/>
        </a:ln>
        <a:effectLst/>
      </c:spPr>
      <c:txPr>
        <a:bodyPr rot="0" spcFirstLastPara="1" vertOverflow="ellipsis" vert="horz" wrap="square" anchor="ctr" anchorCtr="1"/>
        <a:lstStyle/>
        <a:p>
          <a:pPr>
            <a:defRPr sz="1600" b="1" i="0" u="none" strike="noStrike" kern="1200" cap="none" spc="50" normalizeH="0" baseline="0">
              <a:solidFill>
                <a:srgbClr val="002060"/>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pivot_profit!$B$3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pivot_profit!$A$4:$A$11</c:f>
              <c:strCache>
                <c:ptCount val="7"/>
                <c:pt idx="0">
                  <c:v>Headphones</c:v>
                </c:pt>
                <c:pt idx="1">
                  <c:v>Keyboard</c:v>
                </c:pt>
                <c:pt idx="2">
                  <c:v>Laptop 1</c:v>
                </c:pt>
                <c:pt idx="3">
                  <c:v>Laptop 2</c:v>
                </c:pt>
                <c:pt idx="4">
                  <c:v>Laptop 3</c:v>
                </c:pt>
                <c:pt idx="5">
                  <c:v>Monitor</c:v>
                </c:pt>
                <c:pt idx="6">
                  <c:v>Mouse</c:v>
                </c:pt>
              </c:strCache>
            </c:strRef>
          </c:cat>
          <c:val>
            <c:numRef>
              <c:f>pivot_profit!$B$4:$B$11</c:f>
              <c:numCache>
                <c:formatCode>General</c:formatCode>
                <c:ptCount val="7"/>
                <c:pt idx="0">
                  <c:v>360</c:v>
                </c:pt>
                <c:pt idx="1">
                  <c:v>240</c:v>
                </c:pt>
                <c:pt idx="2">
                  <c:v>600</c:v>
                </c:pt>
                <c:pt idx="3">
                  <c:v>900</c:v>
                </c:pt>
                <c:pt idx="4">
                  <c:v>675</c:v>
                </c:pt>
                <c:pt idx="5">
                  <c:v>450</c:v>
                </c:pt>
                <c:pt idx="6">
                  <c:v>300</c:v>
                </c:pt>
              </c:numCache>
            </c:numRef>
          </c:val>
          <c:extLst>
            <c:ext xmlns:c16="http://schemas.microsoft.com/office/drawing/2014/chart" uri="{C3380CC4-5D6E-409C-BE32-E72D297353CC}">
              <c16:uniqueId val="{00000000-CB94-4B5D-8CA3-4920F11AA577}"/>
            </c:ext>
          </c:extLst>
        </c:ser>
        <c:dLbls>
          <c:dLblPos val="outEnd"/>
          <c:showLegendKey val="0"/>
          <c:showVal val="1"/>
          <c:showCatName val="0"/>
          <c:showSerName val="0"/>
          <c:showPercent val="0"/>
          <c:showBubbleSize val="0"/>
        </c:dLbls>
        <c:gapWidth val="80"/>
        <c:overlap val="25"/>
        <c:axId val="491996463"/>
        <c:axId val="16600175"/>
      </c:barChart>
      <c:catAx>
        <c:axId val="4919964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6600175"/>
        <c:crosses val="autoZero"/>
        <c:auto val="1"/>
        <c:lblAlgn val="ctr"/>
        <c:lblOffset val="100"/>
        <c:noMultiLvlLbl val="0"/>
      </c:catAx>
      <c:valAx>
        <c:axId val="1660017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491996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[Ecommerce_Sales_Analysis.xlsx]pivot_revnue!PivotTable5</c:name>
    <c:fmtId val="4"/>
  </c:pivotSource>
  <c:chart>
    <c:title>
      <c:tx>
        <c:rich>
          <a:bodyPr rot="0" spcFirstLastPara="1" vertOverflow="ellipsis" vert="horz" wrap="square" anchor="ctr" anchorCtr="1"/>
          <a:lstStyle/>
          <a:p>
            <a:pPr>
              <a:defRPr sz="1800" b="1" i="0" u="none" strike="noStrike" kern="1200" cap="all" spc="150" baseline="0">
                <a:solidFill>
                  <a:schemeClr val="accent5">
                    <a:lumMod val="50000"/>
                  </a:schemeClr>
                </a:solidFill>
                <a:latin typeface="+mn-lt"/>
                <a:ea typeface="+mn-ea"/>
                <a:cs typeface="+mn-cs"/>
              </a:defRPr>
            </a:pPr>
            <a:r>
              <a:rPr lang="en-US">
                <a:solidFill>
                  <a:schemeClr val="accent5">
                    <a:lumMod val="50000"/>
                  </a:schemeClr>
                </a:solidFill>
              </a:rPr>
              <a:t>Revenue share by Priduct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accent5">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pivot_revnue!$B$3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F1BF-44A2-A090-CD18C535A6AA}"/>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F1BF-44A2-A090-CD18C535A6AA}"/>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F1BF-44A2-A090-CD18C535A6AA}"/>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F1BF-44A2-A090-CD18C535A6AA}"/>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F1BF-44A2-A090-CD18C535A6AA}"/>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F1BF-44A2-A090-CD18C535A6AA}"/>
              </c:ext>
            </c:extLst>
          </c:dPt>
          <c:dPt>
            <c:idx val="6"/>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D-F1BF-44A2-A090-CD18C535A6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pivot_revnue!$A$4:$A$11</c:f>
              <c:strCache>
                <c:ptCount val="7"/>
                <c:pt idx="0">
                  <c:v>Headphones</c:v>
                </c:pt>
                <c:pt idx="1">
                  <c:v>Keyboard</c:v>
                </c:pt>
                <c:pt idx="2">
                  <c:v>Laptop 1</c:v>
                </c:pt>
                <c:pt idx="3">
                  <c:v>Laptop 2</c:v>
                </c:pt>
                <c:pt idx="4">
                  <c:v>Laptop 3</c:v>
                </c:pt>
                <c:pt idx="5">
                  <c:v>Monitor</c:v>
                </c:pt>
                <c:pt idx="6">
                  <c:v>Mouse</c:v>
                </c:pt>
              </c:strCache>
            </c:strRef>
          </c:cat>
          <c:val>
            <c:numRef>
              <c:f>pivot_revnue!$B$4:$B$11</c:f>
              <c:numCache>
                <c:formatCode>General</c:formatCode>
                <c:ptCount val="7"/>
                <c:pt idx="0">
                  <c:v>960</c:v>
                </c:pt>
                <c:pt idx="1">
                  <c:v>600</c:v>
                </c:pt>
                <c:pt idx="2">
                  <c:v>2000</c:v>
                </c:pt>
                <c:pt idx="3">
                  <c:v>3600</c:v>
                </c:pt>
                <c:pt idx="4">
                  <c:v>2250</c:v>
                </c:pt>
                <c:pt idx="5">
                  <c:v>1350</c:v>
                </c:pt>
                <c:pt idx="6">
                  <c:v>600</c:v>
                </c:pt>
              </c:numCache>
            </c:numRef>
          </c:val>
          <c:extLst>
            <c:ext xmlns:c16="http://schemas.microsoft.com/office/drawing/2014/chart" uri="{C3380CC4-5D6E-409C-BE32-E72D297353CC}">
              <c16:uniqueId val="{0000000E-F1BF-44A2-A090-CD18C535A6AA}"/>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r>
              <a:rPr lang="en-US" sz="1400" b="1" i="0" u="none" strike="noStrike" baseline="0">
                <a:solidFill>
                  <a:srgbClr val="002060"/>
                </a:solidFill>
              </a:rPr>
              <a:t>Monthly Revenue Trend</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2060"/>
              </a:solidFill>
              <a:latin typeface="+mn-lt"/>
              <a:ea typeface="+mn-ea"/>
              <a:cs typeface="+mn-cs"/>
            </a:defRPr>
          </a:pPr>
          <a:endParaRPr lang="en-US"/>
        </a:p>
      </c:txPr>
    </c:title>
    <c:autoTitleDeleted val="0"/>
    <c:plotArea>
      <c:layout/>
      <c:lineChart>
        <c:grouping val="stacked"/>
        <c:varyColors val="0"/>
        <c:ser>
          <c:idx val="0"/>
          <c:order val="0"/>
          <c:tx>
            <c:strRef>
              <c:f>Analaysis!$E$1</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Analaysis!$D$2:$D$5</c:f>
              <c:numCache>
                <c:formatCode>B1mmm\-yy</c:formatCode>
                <c:ptCount val="4"/>
                <c:pt idx="0">
                  <c:v>46023</c:v>
                </c:pt>
                <c:pt idx="1">
                  <c:v>46054</c:v>
                </c:pt>
                <c:pt idx="2">
                  <c:v>46082</c:v>
                </c:pt>
                <c:pt idx="3">
                  <c:v>46113</c:v>
                </c:pt>
              </c:numCache>
            </c:numRef>
          </c:cat>
          <c:val>
            <c:numRef>
              <c:f>Analaysis!$E$2:$E$5</c:f>
              <c:numCache>
                <c:formatCode>General</c:formatCode>
                <c:ptCount val="4"/>
                <c:pt idx="0">
                  <c:v>3990</c:v>
                </c:pt>
                <c:pt idx="1">
                  <c:v>480</c:v>
                </c:pt>
                <c:pt idx="2">
                  <c:v>570</c:v>
                </c:pt>
                <c:pt idx="3">
                  <c:v>2980</c:v>
                </c:pt>
              </c:numCache>
            </c:numRef>
          </c:val>
          <c:smooth val="0"/>
          <c:extLst>
            <c:ext xmlns:c16="http://schemas.microsoft.com/office/drawing/2014/chart" uri="{C3380CC4-5D6E-409C-BE32-E72D297353CC}">
              <c16:uniqueId val="{00000000-65DA-4568-9B78-4208D4CF33B6}"/>
            </c:ext>
          </c:extLst>
        </c:ser>
        <c:dLbls>
          <c:showLegendKey val="0"/>
          <c:showVal val="0"/>
          <c:showCatName val="0"/>
          <c:showSerName val="0"/>
          <c:showPercent val="0"/>
          <c:showBubbleSize val="0"/>
        </c:dLbls>
        <c:marker val="1"/>
        <c:smooth val="0"/>
        <c:axId val="947784639"/>
        <c:axId val="728149871"/>
      </c:lineChart>
      <c:dateAx>
        <c:axId val="947784639"/>
        <c:scaling>
          <c:orientation val="minMax"/>
        </c:scaling>
        <c:delete val="0"/>
        <c:axPos val="b"/>
        <c:numFmt formatCode="B1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149871"/>
        <c:crosses val="autoZero"/>
        <c:auto val="1"/>
        <c:lblOffset val="100"/>
        <c:baseTimeUnit val="months"/>
      </c:dateAx>
      <c:valAx>
        <c:axId val="72814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84639"/>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image" Target="../media/image2.svg"/><Relationship Id="rId10" Type="http://schemas.openxmlformats.org/officeDocument/2006/relationships/image" Target="../media/image6.svg"/><Relationship Id="rId4" Type="http://schemas.openxmlformats.org/officeDocument/2006/relationships/image" Target="../media/image1.png"/><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9</xdr:col>
      <xdr:colOff>0</xdr:colOff>
      <xdr:row>3</xdr:row>
      <xdr:rowOff>0</xdr:rowOff>
    </xdr:from>
    <xdr:to>
      <xdr:col>11</xdr:col>
      <xdr:colOff>0</xdr:colOff>
      <xdr:row>5</xdr:row>
      <xdr:rowOff>0</xdr:rowOff>
    </xdr:to>
    <xdr:sp macro="" textlink="">
      <xdr:nvSpPr>
        <xdr:cNvPr id="11" name="TextBox 10">
          <a:extLst>
            <a:ext uri="{FF2B5EF4-FFF2-40B4-BE49-F238E27FC236}">
              <a16:creationId xmlns:a16="http://schemas.microsoft.com/office/drawing/2014/main" id="{EBD3230D-43BE-8BAC-730B-8A48E43E9F09}"/>
            </a:ext>
          </a:extLst>
        </xdr:cNvPr>
        <xdr:cNvSpPr txBox="1"/>
      </xdr:nvSpPr>
      <xdr:spPr>
        <a:xfrm flipV="1">
          <a:off x="5778500" y="717550"/>
          <a:ext cx="1219200" cy="50800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endParaRPr lang="en-US" sz="1100"/>
        </a:p>
      </xdr:txBody>
    </xdr:sp>
    <xdr:clientData/>
  </xdr:twoCellAnchor>
  <xdr:twoCellAnchor>
    <xdr:from>
      <xdr:col>9</xdr:col>
      <xdr:colOff>0</xdr:colOff>
      <xdr:row>3</xdr:row>
      <xdr:rowOff>0</xdr:rowOff>
    </xdr:from>
    <xdr:to>
      <xdr:col>11</xdr:col>
      <xdr:colOff>0</xdr:colOff>
      <xdr:row>5</xdr:row>
      <xdr:rowOff>0</xdr:rowOff>
    </xdr:to>
    <xdr:sp macro="" textlink="">
      <xdr:nvSpPr>
        <xdr:cNvPr id="13" name="Rectangle: Rounded Corners 12">
          <a:extLst>
            <a:ext uri="{FF2B5EF4-FFF2-40B4-BE49-F238E27FC236}">
              <a16:creationId xmlns:a16="http://schemas.microsoft.com/office/drawing/2014/main" id="{4525E54F-13DF-96B4-EDB7-1894C6FC0437}"/>
            </a:ext>
          </a:extLst>
        </xdr:cNvPr>
        <xdr:cNvSpPr/>
      </xdr:nvSpPr>
      <xdr:spPr>
        <a:xfrm>
          <a:off x="5778500" y="717550"/>
          <a:ext cx="1219200" cy="508000"/>
        </a:xfrm>
        <a:prstGeom prst="roundRect">
          <a:avLst/>
        </a:prstGeom>
        <a:noFill/>
        <a:ln>
          <a:solidFill>
            <a:srgbClr val="002060"/>
          </a:solid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14</xdr:col>
      <xdr:colOff>95250</xdr:colOff>
      <xdr:row>0</xdr:row>
      <xdr:rowOff>0</xdr:rowOff>
    </xdr:from>
    <xdr:to>
      <xdr:col>17</xdr:col>
      <xdr:colOff>410476</xdr:colOff>
      <xdr:row>5</xdr:row>
      <xdr:rowOff>177800</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3871DB6C-78EC-3EC4-34ED-E1A7EECE17B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921750" y="0"/>
              <a:ext cx="2144026" cy="1403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222250</xdr:colOff>
      <xdr:row>6</xdr:row>
      <xdr:rowOff>57150</xdr:rowOff>
    </xdr:from>
    <xdr:to>
      <xdr:col>7</xdr:col>
      <xdr:colOff>622300</xdr:colOff>
      <xdr:row>18</xdr:row>
      <xdr:rowOff>177800</xdr:rowOff>
    </xdr:to>
    <xdr:graphicFrame macro="">
      <xdr:nvGraphicFramePr>
        <xdr:cNvPr id="2" name="Chart 1">
          <a:extLst>
            <a:ext uri="{FF2B5EF4-FFF2-40B4-BE49-F238E27FC236}">
              <a16:creationId xmlns:a16="http://schemas.microsoft.com/office/drawing/2014/main" id="{0829F177-EBAA-4D83-AFCC-6473378198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717550</xdr:colOff>
      <xdr:row>6</xdr:row>
      <xdr:rowOff>133350</xdr:rowOff>
    </xdr:from>
    <xdr:to>
      <xdr:col>13</xdr:col>
      <xdr:colOff>387350</xdr:colOff>
      <xdr:row>19</xdr:row>
      <xdr:rowOff>50800</xdr:rowOff>
    </xdr:to>
    <xdr:graphicFrame macro="">
      <xdr:nvGraphicFramePr>
        <xdr:cNvPr id="3" name="Chart 2">
          <a:extLst>
            <a:ext uri="{FF2B5EF4-FFF2-40B4-BE49-F238E27FC236}">
              <a16:creationId xmlns:a16="http://schemas.microsoft.com/office/drawing/2014/main" id="{6773B553-FD36-4816-A580-2567C25A3B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514350</xdr:colOff>
      <xdr:row>6</xdr:row>
      <xdr:rowOff>127000</xdr:rowOff>
    </xdr:from>
    <xdr:to>
      <xdr:col>17</xdr:col>
      <xdr:colOff>501650</xdr:colOff>
      <xdr:row>19</xdr:row>
      <xdr:rowOff>101600</xdr:rowOff>
    </xdr:to>
    <xdr:graphicFrame macro="">
      <xdr:nvGraphicFramePr>
        <xdr:cNvPr id="6" name="Chart 5">
          <a:extLst>
            <a:ext uri="{FF2B5EF4-FFF2-40B4-BE49-F238E27FC236}">
              <a16:creationId xmlns:a16="http://schemas.microsoft.com/office/drawing/2014/main" id="{0F5DF549-38DF-4054-83DB-85BD260BB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450850</xdr:colOff>
      <xdr:row>0</xdr:row>
      <xdr:rowOff>6350</xdr:rowOff>
    </xdr:from>
    <xdr:to>
      <xdr:col>3</xdr:col>
      <xdr:colOff>273050</xdr:colOff>
      <xdr:row>1</xdr:row>
      <xdr:rowOff>119892</xdr:rowOff>
    </xdr:to>
    <xdr:pic>
      <xdr:nvPicPr>
        <xdr:cNvPr id="8" name="Graphic 7" descr="Shopping cart with solid fill">
          <a:extLst>
            <a:ext uri="{FF2B5EF4-FFF2-40B4-BE49-F238E27FC236}">
              <a16:creationId xmlns:a16="http://schemas.microsoft.com/office/drawing/2014/main" id="{1377AFDB-E68F-756E-979F-AF196D82A7A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60450" y="6350"/>
          <a:ext cx="431800" cy="380242"/>
        </a:xfrm>
        <a:prstGeom prst="rect">
          <a:avLst/>
        </a:prstGeom>
      </xdr:spPr>
    </xdr:pic>
    <xdr:clientData/>
  </xdr:twoCellAnchor>
  <xdr:twoCellAnchor editAs="oneCell">
    <xdr:from>
      <xdr:col>10</xdr:col>
      <xdr:colOff>406400</xdr:colOff>
      <xdr:row>0</xdr:row>
      <xdr:rowOff>0</xdr:rowOff>
    </xdr:from>
    <xdr:to>
      <xdr:col>11</xdr:col>
      <xdr:colOff>139700</xdr:colOff>
      <xdr:row>1</xdr:row>
      <xdr:rowOff>76200</xdr:rowOff>
    </xdr:to>
    <xdr:pic>
      <xdr:nvPicPr>
        <xdr:cNvPr id="10" name="Graphic 9" descr="Bar graph with upward trend with solid fill">
          <a:extLst>
            <a:ext uri="{FF2B5EF4-FFF2-40B4-BE49-F238E27FC236}">
              <a16:creationId xmlns:a16="http://schemas.microsoft.com/office/drawing/2014/main" id="{834B7660-3B38-F5F2-529C-A176720FF0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84900" y="0"/>
          <a:ext cx="342900" cy="342900"/>
        </a:xfrm>
        <a:prstGeom prst="rect">
          <a:avLst/>
        </a:prstGeom>
      </xdr:spPr>
    </xdr:pic>
    <xdr:clientData/>
  </xdr:twoCellAnchor>
  <xdr:twoCellAnchor>
    <xdr:from>
      <xdr:col>1</xdr:col>
      <xdr:colOff>6350</xdr:colOff>
      <xdr:row>0</xdr:row>
      <xdr:rowOff>6350</xdr:rowOff>
    </xdr:from>
    <xdr:to>
      <xdr:col>13</xdr:col>
      <xdr:colOff>6350</xdr:colOff>
      <xdr:row>2</xdr:row>
      <xdr:rowOff>6350</xdr:rowOff>
    </xdr:to>
    <xdr:sp macro="" textlink="">
      <xdr:nvSpPr>
        <xdr:cNvPr id="4" name="Rectangle: Rounded Corners 3">
          <a:extLst>
            <a:ext uri="{FF2B5EF4-FFF2-40B4-BE49-F238E27FC236}">
              <a16:creationId xmlns:a16="http://schemas.microsoft.com/office/drawing/2014/main" id="{D73A5745-84F6-41A1-77B8-1AB5C1D03A8B}"/>
            </a:ext>
          </a:extLst>
        </xdr:cNvPr>
        <xdr:cNvSpPr/>
      </xdr:nvSpPr>
      <xdr:spPr>
        <a:xfrm>
          <a:off x="615950" y="6350"/>
          <a:ext cx="7607300" cy="533400"/>
        </a:xfrm>
        <a:prstGeom prst="roundRect">
          <a:avLst/>
        </a:prstGeom>
        <a:noFill/>
        <a:ln w="9525" cap="flat" cmpd="sng" algn="ctr">
          <a:solidFill>
            <a:schemeClr val="accent5"/>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5"/>
        </a:fontRef>
      </xdr:style>
      <xdr:txBody>
        <a:bodyPr vertOverflow="clip" horzOverflow="clip" rtlCol="0" anchor="t"/>
        <a:lstStyle/>
        <a:p>
          <a:pPr algn="l"/>
          <a:endParaRPr lang="en-US" sz="1100"/>
        </a:p>
      </xdr:txBody>
    </xdr:sp>
    <xdr:clientData/>
  </xdr:twoCellAnchor>
  <xdr:twoCellAnchor>
    <xdr:from>
      <xdr:col>2</xdr:col>
      <xdr:colOff>596900</xdr:colOff>
      <xdr:row>3</xdr:row>
      <xdr:rowOff>0</xdr:rowOff>
    </xdr:from>
    <xdr:to>
      <xdr:col>4</xdr:col>
      <xdr:colOff>590550</xdr:colOff>
      <xdr:row>5</xdr:row>
      <xdr:rowOff>6349</xdr:rowOff>
    </xdr:to>
    <xdr:sp macro="" textlink="">
      <xdr:nvSpPr>
        <xdr:cNvPr id="7" name="Rectangle: Rounded Corners 6">
          <a:extLst>
            <a:ext uri="{FF2B5EF4-FFF2-40B4-BE49-F238E27FC236}">
              <a16:creationId xmlns:a16="http://schemas.microsoft.com/office/drawing/2014/main" id="{61194FF2-54A3-7076-32A9-B97D9958A3F2}"/>
            </a:ext>
          </a:extLst>
        </xdr:cNvPr>
        <xdr:cNvSpPr/>
      </xdr:nvSpPr>
      <xdr:spPr>
        <a:xfrm>
          <a:off x="1816100" y="717550"/>
          <a:ext cx="1212850" cy="514349"/>
        </a:xfrm>
        <a:prstGeom prst="roundRect">
          <a:avLst/>
        </a:prstGeom>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596900</xdr:colOff>
      <xdr:row>3</xdr:row>
      <xdr:rowOff>0</xdr:rowOff>
    </xdr:from>
    <xdr:to>
      <xdr:col>7</xdr:col>
      <xdr:colOff>6350</xdr:colOff>
      <xdr:row>5</xdr:row>
      <xdr:rowOff>0</xdr:rowOff>
    </xdr:to>
    <xdr:sp macro="" textlink="">
      <xdr:nvSpPr>
        <xdr:cNvPr id="9" name="Rectangle: Rounded Corners 8">
          <a:extLst>
            <a:ext uri="{FF2B5EF4-FFF2-40B4-BE49-F238E27FC236}">
              <a16:creationId xmlns:a16="http://schemas.microsoft.com/office/drawing/2014/main" id="{5C3E64F6-9731-FD07-7B29-AB206C84A3B2}"/>
            </a:ext>
          </a:extLst>
        </xdr:cNvPr>
        <xdr:cNvSpPr/>
      </xdr:nvSpPr>
      <xdr:spPr>
        <a:xfrm>
          <a:off x="3035300" y="717550"/>
          <a:ext cx="1238250" cy="508000"/>
        </a:xfrm>
        <a:prstGeom prst="roundRect">
          <a:avLst/>
        </a:prstGeom>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2</xdr:row>
      <xdr:rowOff>171450</xdr:rowOff>
    </xdr:from>
    <xdr:to>
      <xdr:col>8</xdr:col>
      <xdr:colOff>603250</xdr:colOff>
      <xdr:row>4</xdr:row>
      <xdr:rowOff>215900</xdr:rowOff>
    </xdr:to>
    <xdr:sp macro="" textlink="">
      <xdr:nvSpPr>
        <xdr:cNvPr id="12" name="Rectangle: Rounded Corners 11">
          <a:extLst>
            <a:ext uri="{FF2B5EF4-FFF2-40B4-BE49-F238E27FC236}">
              <a16:creationId xmlns:a16="http://schemas.microsoft.com/office/drawing/2014/main" id="{655ED768-AF52-A3C4-B7AA-E7F252432473}"/>
            </a:ext>
          </a:extLst>
        </xdr:cNvPr>
        <xdr:cNvSpPr/>
      </xdr:nvSpPr>
      <xdr:spPr>
        <a:xfrm>
          <a:off x="4267200" y="704850"/>
          <a:ext cx="1504950" cy="501650"/>
        </a:xfrm>
        <a:prstGeom prst="roundRect">
          <a:avLst/>
        </a:prstGeom>
        <a:noFill/>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88900</xdr:colOff>
      <xdr:row>0</xdr:row>
      <xdr:rowOff>12700</xdr:rowOff>
    </xdr:from>
    <xdr:to>
      <xdr:col>17</xdr:col>
      <xdr:colOff>406400</xdr:colOff>
      <xdr:row>5</xdr:row>
      <xdr:rowOff>177800</xdr:rowOff>
    </xdr:to>
    <xdr:sp macro="" textlink="">
      <xdr:nvSpPr>
        <xdr:cNvPr id="14" name="Rectangle: Rounded Corners 13">
          <a:extLst>
            <a:ext uri="{FF2B5EF4-FFF2-40B4-BE49-F238E27FC236}">
              <a16:creationId xmlns:a16="http://schemas.microsoft.com/office/drawing/2014/main" id="{FE32D45C-0825-6AC4-91DC-B46D392B86BA}"/>
            </a:ext>
          </a:extLst>
        </xdr:cNvPr>
        <xdr:cNvSpPr/>
      </xdr:nvSpPr>
      <xdr:spPr>
        <a:xfrm>
          <a:off x="8915400" y="12700"/>
          <a:ext cx="2146300" cy="1390650"/>
        </a:xfrm>
        <a:prstGeom prst="roundRect">
          <a:avLst/>
        </a:prstGeom>
        <a:noFill/>
        <a:ln>
          <a:solidFill>
            <a:schemeClr val="bg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755650</xdr:colOff>
      <xdr:row>20</xdr:row>
      <xdr:rowOff>0</xdr:rowOff>
    </xdr:from>
    <xdr:to>
      <xdr:col>16</xdr:col>
      <xdr:colOff>76200</xdr:colOff>
      <xdr:row>25</xdr:row>
      <xdr:rowOff>31750</xdr:rowOff>
    </xdr:to>
    <xdr:graphicFrame macro="">
      <xdr:nvGraphicFramePr>
        <xdr:cNvPr id="17" name="Chart 16">
          <a:extLst>
            <a:ext uri="{FF2B5EF4-FFF2-40B4-BE49-F238E27FC236}">
              <a16:creationId xmlns:a16="http://schemas.microsoft.com/office/drawing/2014/main" id="{6A828D5B-C587-4043-B91C-D23B1CCD8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355600</xdr:colOff>
      <xdr:row>3</xdr:row>
      <xdr:rowOff>184150</xdr:rowOff>
    </xdr:from>
    <xdr:to>
      <xdr:col>7</xdr:col>
      <xdr:colOff>19050</xdr:colOff>
      <xdr:row>4</xdr:row>
      <xdr:rowOff>184150</xdr:rowOff>
    </xdr:to>
    <xdr:pic>
      <xdr:nvPicPr>
        <xdr:cNvPr id="19" name="Graphic 18" descr="Dollar with solid fill">
          <a:extLst>
            <a:ext uri="{FF2B5EF4-FFF2-40B4-BE49-F238E27FC236}">
              <a16:creationId xmlns:a16="http://schemas.microsoft.com/office/drawing/2014/main" id="{8FC16C7E-455E-44AD-4D84-52E3823816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13200" y="901700"/>
          <a:ext cx="273050" cy="273050"/>
        </a:xfrm>
        <a:prstGeom prst="rect">
          <a:avLst/>
        </a:prstGeom>
      </xdr:spPr>
    </xdr:pic>
    <xdr:clientData/>
  </xdr:twoCellAnchor>
  <xdr:twoCellAnchor editAs="oneCell">
    <xdr:from>
      <xdr:col>4</xdr:col>
      <xdr:colOff>285750</xdr:colOff>
      <xdr:row>3</xdr:row>
      <xdr:rowOff>228600</xdr:rowOff>
    </xdr:from>
    <xdr:to>
      <xdr:col>4</xdr:col>
      <xdr:colOff>546100</xdr:colOff>
      <xdr:row>4</xdr:row>
      <xdr:rowOff>215900</xdr:rowOff>
    </xdr:to>
    <xdr:pic>
      <xdr:nvPicPr>
        <xdr:cNvPr id="24" name="Graphic 23" descr="Statistics with solid fill">
          <a:extLst>
            <a:ext uri="{FF2B5EF4-FFF2-40B4-BE49-F238E27FC236}">
              <a16:creationId xmlns:a16="http://schemas.microsoft.com/office/drawing/2014/main" id="{18D27EE6-FBCA-4BDA-6072-D8575BB8F38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24150" y="946150"/>
          <a:ext cx="260350" cy="260350"/>
        </a:xfrm>
        <a:prstGeom prst="rect">
          <a:avLst/>
        </a:prstGeom>
      </xdr:spPr>
    </xdr:pic>
    <xdr:clientData/>
  </xdr:twoCellAnchor>
  <xdr:twoCellAnchor editAs="oneCell">
    <xdr:from>
      <xdr:col>8</xdr:col>
      <xdr:colOff>285749</xdr:colOff>
      <xdr:row>3</xdr:row>
      <xdr:rowOff>158750</xdr:rowOff>
    </xdr:from>
    <xdr:to>
      <xdr:col>9</xdr:col>
      <xdr:colOff>25400</xdr:colOff>
      <xdr:row>4</xdr:row>
      <xdr:rowOff>228600</xdr:rowOff>
    </xdr:to>
    <xdr:pic>
      <xdr:nvPicPr>
        <xdr:cNvPr id="26" name="Graphic 25" descr="Database with solid fill">
          <a:extLst>
            <a:ext uri="{FF2B5EF4-FFF2-40B4-BE49-F238E27FC236}">
              <a16:creationId xmlns:a16="http://schemas.microsoft.com/office/drawing/2014/main" id="{FA316DEF-7C0F-21F2-295D-96D0E941A1F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454649" y="876300"/>
          <a:ext cx="349251" cy="34290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0.00548</cdr:y>
    </cdr:from>
    <cdr:to>
      <cdr:x>1</cdr:x>
      <cdr:y>1</cdr:y>
    </cdr:to>
    <cdr:sp macro="" textlink="">
      <cdr:nvSpPr>
        <cdr:cNvPr id="2" name="Rectangle: Rounded Corners 1">
          <a:extLst xmlns:a="http://schemas.openxmlformats.org/drawingml/2006/main">
            <a:ext uri="{FF2B5EF4-FFF2-40B4-BE49-F238E27FC236}">
              <a16:creationId xmlns:a16="http://schemas.microsoft.com/office/drawing/2014/main" id="{63C8E8CC-C49A-75E3-AACD-232D2A13F883}"/>
            </a:ext>
          </a:extLst>
        </cdr:cNvPr>
        <cdr:cNvSpPr/>
      </cdr:nvSpPr>
      <cdr:spPr>
        <a:xfrm xmlns:a="http://schemas.openxmlformats.org/drawingml/2006/main">
          <a:off x="0" y="12700"/>
          <a:ext cx="4654550" cy="2305050"/>
        </a:xfrm>
        <a:prstGeom xmlns:a="http://schemas.openxmlformats.org/drawingml/2006/main" prst="roundRect">
          <a:avLst/>
        </a:prstGeom>
        <a:noFill xmlns:a="http://schemas.openxmlformats.org/drawingml/2006/main"/>
      </cdr:spPr>
      <cdr:style>
        <a:lnRef xmlns:a="http://schemas.openxmlformats.org/drawingml/2006/main" idx="2">
          <a:schemeClr val="accent3"/>
        </a:lnRef>
        <a:fillRef xmlns:a="http://schemas.openxmlformats.org/drawingml/2006/main" idx="1">
          <a:schemeClr val="lt1"/>
        </a:fillRef>
        <a:effectRef xmlns:a="http://schemas.openxmlformats.org/drawingml/2006/main" idx="0">
          <a:schemeClr val="accent3"/>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3.xml><?xml version="1.0" encoding="utf-8"?>
<c:userShapes xmlns:c="http://schemas.openxmlformats.org/drawingml/2006/chart">
  <cdr:relSizeAnchor xmlns:cdr="http://schemas.openxmlformats.org/drawingml/2006/chartDrawing">
    <cdr:from>
      <cdr:x>0</cdr:x>
      <cdr:y>0</cdr:y>
    </cdr:from>
    <cdr:to>
      <cdr:x>0.99784</cdr:x>
      <cdr:y>1</cdr:y>
    </cdr:to>
    <cdr:sp macro="" textlink="">
      <cdr:nvSpPr>
        <cdr:cNvPr id="2" name="Rectangle: Rounded Corners 1">
          <a:extLst xmlns:a="http://schemas.openxmlformats.org/drawingml/2006/main">
            <a:ext uri="{FF2B5EF4-FFF2-40B4-BE49-F238E27FC236}">
              <a16:creationId xmlns:a16="http://schemas.microsoft.com/office/drawing/2014/main" id="{61D248AB-3A8E-1232-7E30-6E65BCCDAA6F}"/>
            </a:ext>
          </a:extLst>
        </cdr:cNvPr>
        <cdr:cNvSpPr/>
      </cdr:nvSpPr>
      <cdr:spPr>
        <a:xfrm xmlns:a="http://schemas.openxmlformats.org/drawingml/2006/main">
          <a:off x="0" y="0"/>
          <a:ext cx="2933700" cy="2349500"/>
        </a:xfrm>
        <a:prstGeom xmlns:a="http://schemas.openxmlformats.org/drawingml/2006/main" prst="roundRect">
          <a:avLst>
            <a:gd name="adj" fmla="val 13889"/>
          </a:avLst>
        </a:prstGeom>
        <a:noFill xmlns:a="http://schemas.openxmlformats.org/drawingml/2006/main"/>
        <a:ln xmlns:a="http://schemas.openxmlformats.org/drawingml/2006/main" w="9525" cap="flat" cmpd="sng" algn="ctr">
          <a:solidFill>
            <a:schemeClr val="accent3"/>
          </a:solidFill>
          <a:prstDash val="solid"/>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accent3"/>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4.xml><?xml version="1.0" encoding="utf-8"?>
<c:userShapes xmlns:c="http://schemas.openxmlformats.org/drawingml/2006/chart">
  <cdr:relSizeAnchor xmlns:cdr="http://schemas.openxmlformats.org/drawingml/2006/chartDrawing">
    <cdr:from>
      <cdr:x>0</cdr:x>
      <cdr:y>0.00268</cdr:y>
    </cdr:from>
    <cdr:to>
      <cdr:x>1</cdr:x>
      <cdr:y>1</cdr:y>
    </cdr:to>
    <cdr:sp macro="" textlink="">
      <cdr:nvSpPr>
        <cdr:cNvPr id="2" name="Rectangle: Rounded Corners 1">
          <a:extLst xmlns:a="http://schemas.openxmlformats.org/drawingml/2006/main">
            <a:ext uri="{FF2B5EF4-FFF2-40B4-BE49-F238E27FC236}">
              <a16:creationId xmlns:a16="http://schemas.microsoft.com/office/drawing/2014/main" id="{9AAE0668-E0F3-AACD-680A-378CC5FF15D3}"/>
            </a:ext>
          </a:extLst>
        </cdr:cNvPr>
        <cdr:cNvSpPr/>
      </cdr:nvSpPr>
      <cdr:spPr>
        <a:xfrm xmlns:a="http://schemas.openxmlformats.org/drawingml/2006/main">
          <a:off x="0" y="6350"/>
          <a:ext cx="2425700" cy="2362200"/>
        </a:xfrm>
        <a:prstGeom xmlns:a="http://schemas.openxmlformats.org/drawingml/2006/main" prst="roundRect">
          <a:avLst/>
        </a:prstGeom>
        <a:noFill xmlns:a="http://schemas.openxmlformats.org/drawingml/2006/main"/>
        <a:ln xmlns:a="http://schemas.openxmlformats.org/drawingml/2006/main">
          <a:solidFill>
            <a:schemeClr val="bg2">
              <a:lumMod val="75000"/>
            </a:schemeClr>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tarhw" refreshedDate="46311.3234443287" createdVersion="8" refreshedVersion="8" minRefreshableVersion="3" recordCount="20" xr:uid="{1979EC57-CAD1-428C-BA7F-8FFE7C2F5E78}">
  <cacheSource type="worksheet">
    <worksheetSource name="Table1"/>
  </cacheSource>
  <cacheFields count="9">
    <cacheField name="Order_ID" numFmtId="0">
      <sharedItems containsSemiMixedTypes="0" containsString="0" containsNumber="1" containsInteger="1" minValue="1001" maxValue="1020"/>
    </cacheField>
    <cacheField name="Order_Date" numFmtId="14">
      <sharedItems containsSemiMixedTypes="0" containsNonDate="0" containsDate="1" containsString="0" minDate="2026-01-05T00:00:00" maxDate="2026-01-25T00:00:00"/>
    </cacheField>
    <cacheField name="Product" numFmtId="0">
      <sharedItems count="7">
        <s v="Laptop 1"/>
        <s v="Laptop 2"/>
        <s v="Laptop 3"/>
        <s v="Mouse"/>
        <s v="Keyboard"/>
        <s v="Monitor"/>
        <s v="Headphones"/>
      </sharedItems>
    </cacheField>
    <cacheField name="Quantity" numFmtId="0">
      <sharedItems containsSemiMixedTypes="0" containsString="0" containsNumber="1" containsInteger="1" minValue="1" maxValue="12"/>
    </cacheField>
    <cacheField name="Unit_Price" numFmtId="0">
      <sharedItems containsSemiMixedTypes="0" containsString="0" containsNumber="1" containsInteger="1" minValue="20" maxValue="750"/>
    </cacheField>
    <cacheField name="Revenue" numFmtId="0">
      <sharedItems containsSemiMixedTypes="0" containsString="0" containsNumber="1" containsInteger="1" minValue="120" maxValue="1800"/>
    </cacheField>
    <cacheField name="Total_Cost" numFmtId="0">
      <sharedItems containsSemiMixedTypes="0" containsString="0" containsNumber="1" containsInteger="1" minValue="72" maxValue="1350"/>
    </cacheField>
    <cacheField name="Profit" numFmtId="0">
      <sharedItems containsSemiMixedTypes="0" containsString="0" containsNumber="1" containsInteger="1" minValue="48" maxValue="450"/>
    </cacheField>
    <cacheField name="Profit_Margin" numFmtId="0">
      <sharedItems containsMixedTypes="1" containsNumber="1" minValue="0.25" maxValue="0.5"/>
    </cacheField>
  </cacheFields>
  <extLst>
    <ext xmlns:x14="http://schemas.microsoft.com/office/spreadsheetml/2009/9/main" uri="{725AE2AE-9491-48be-B2B4-4EB974FC3084}">
      <x14:pivotCacheDefinition pivotCacheId="1754764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6-01-05T00:00:00"/>
    <x v="0"/>
    <n v="2"/>
    <n v="500"/>
    <n v="1000"/>
    <n v="700"/>
    <n v="300"/>
    <n v="0.3"/>
  </r>
  <r>
    <n v="1002"/>
    <d v="2026-01-06T00:00:00"/>
    <x v="1"/>
    <n v="3"/>
    <n v="600"/>
    <n v="1800"/>
    <n v="1350"/>
    <n v="450"/>
    <n v="0.25"/>
  </r>
  <r>
    <n v="1003"/>
    <d v="2026-01-07T00:00:00"/>
    <x v="2"/>
    <n v="2"/>
    <n v="750"/>
    <n v="1500"/>
    <n v="1050"/>
    <n v="450"/>
    <n v="0.3"/>
  </r>
  <r>
    <n v="1004"/>
    <d v="2026-01-08T00:00:00"/>
    <x v="3"/>
    <n v="10"/>
    <n v="20"/>
    <n v="200"/>
    <n v="100"/>
    <n v="100"/>
    <n v="0.5"/>
  </r>
  <r>
    <n v="1005"/>
    <d v="2026-01-09T00:00:00"/>
    <x v="4"/>
    <n v="5"/>
    <n v="40"/>
    <n v="200"/>
    <n v="120"/>
    <n v="80"/>
    <n v="0.4"/>
  </r>
  <r>
    <n v="1006"/>
    <d v="2026-01-10T00:00:00"/>
    <x v="5"/>
    <n v="3"/>
    <n v="150"/>
    <n v="450"/>
    <n v="300"/>
    <n v="150"/>
    <s v="33.33%"/>
  </r>
  <r>
    <n v="1007"/>
    <d v="2026-01-11T00:00:00"/>
    <x v="6"/>
    <n v="4"/>
    <n v="80"/>
    <n v="320"/>
    <n v="200"/>
    <n v="120"/>
    <s v="37.5%"/>
  </r>
  <r>
    <n v="1008"/>
    <d v="2026-01-12T00:00:00"/>
    <x v="0"/>
    <n v="1"/>
    <n v="500"/>
    <n v="500"/>
    <n v="350"/>
    <n v="150"/>
    <n v="0.3"/>
  </r>
  <r>
    <n v="1009"/>
    <d v="2026-01-13T00:00:00"/>
    <x v="3"/>
    <n v="8"/>
    <n v="20"/>
    <n v="160"/>
    <n v="80"/>
    <n v="80"/>
    <n v="0.5"/>
  </r>
  <r>
    <n v="1010"/>
    <d v="2026-01-14T00:00:00"/>
    <x v="5"/>
    <n v="2"/>
    <n v="150"/>
    <n v="300"/>
    <n v="200"/>
    <n v="100"/>
    <s v="33.33%"/>
  </r>
  <r>
    <n v="1011"/>
    <d v="2026-01-15T00:00:00"/>
    <x v="1"/>
    <n v="1"/>
    <n v="600"/>
    <n v="600"/>
    <n v="450"/>
    <n v="150"/>
    <n v="0.25"/>
  </r>
  <r>
    <n v="1012"/>
    <d v="2026-01-16T00:00:00"/>
    <x v="4"/>
    <n v="7"/>
    <n v="40"/>
    <n v="280"/>
    <n v="168"/>
    <n v="112"/>
    <n v="0.4"/>
  </r>
  <r>
    <n v="1013"/>
    <d v="2026-01-17T00:00:00"/>
    <x v="6"/>
    <n v="6"/>
    <n v="80"/>
    <n v="480"/>
    <n v="300"/>
    <n v="180"/>
    <s v="37.5%"/>
  </r>
  <r>
    <n v="1014"/>
    <d v="2026-01-18T00:00:00"/>
    <x v="2"/>
    <n v="1"/>
    <n v="750"/>
    <n v="750"/>
    <n v="525"/>
    <n v="225"/>
    <n v="0.3"/>
  </r>
  <r>
    <n v="1015"/>
    <d v="2026-01-19T00:00:00"/>
    <x v="3"/>
    <n v="12"/>
    <n v="20"/>
    <n v="240"/>
    <n v="120"/>
    <n v="120"/>
    <n v="0.5"/>
  </r>
  <r>
    <n v="1016"/>
    <d v="2026-01-20T00:00:00"/>
    <x v="5"/>
    <n v="4"/>
    <n v="150"/>
    <n v="600"/>
    <n v="400"/>
    <n v="200"/>
    <s v="33.33%"/>
  </r>
  <r>
    <n v="1017"/>
    <d v="2026-01-21T00:00:00"/>
    <x v="0"/>
    <n v="1"/>
    <n v="500"/>
    <n v="500"/>
    <n v="350"/>
    <n v="150"/>
    <n v="0.3"/>
  </r>
  <r>
    <n v="1018"/>
    <d v="2026-01-22T00:00:00"/>
    <x v="4"/>
    <n v="3"/>
    <n v="40"/>
    <n v="120"/>
    <n v="72"/>
    <n v="48"/>
    <n v="0.4"/>
  </r>
  <r>
    <n v="1019"/>
    <d v="2026-01-23T00:00:00"/>
    <x v="1"/>
    <n v="2"/>
    <n v="600"/>
    <n v="1200"/>
    <n v="900"/>
    <n v="300"/>
    <n v="0.25"/>
  </r>
  <r>
    <n v="1020"/>
    <d v="2026-01-24T00:00:00"/>
    <x v="6"/>
    <n v="2"/>
    <n v="80"/>
    <n v="160"/>
    <n v="100"/>
    <n v="60"/>
    <s v="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391E3-F993-4A6E-A871-512F394C0C1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1" firstHeaderRow="0" firstDataRow="1" firstDataCol="1"/>
  <pivotFields count="9">
    <pivotField showAll="0"/>
    <pivotField numFmtId="14" showAll="0"/>
    <pivotField axis="axisRow" showAll="0">
      <items count="8">
        <item x="6"/>
        <item x="4"/>
        <item x="0"/>
        <item x="1"/>
        <item x="2"/>
        <item x="5"/>
        <item x="3"/>
        <item t="default"/>
      </items>
    </pivotField>
    <pivotField showAll="0"/>
    <pivotField showAll="0"/>
    <pivotField dataField="1" showAll="0"/>
    <pivotField showAll="0"/>
    <pivotField dataField="1" showAll="0"/>
    <pivotField showAll="0"/>
  </pivotFields>
  <rowFields count="1">
    <field x="2"/>
  </rowFields>
  <rowItems count="8">
    <i>
      <x/>
    </i>
    <i>
      <x v="1"/>
    </i>
    <i>
      <x v="2"/>
    </i>
    <i>
      <x v="3"/>
    </i>
    <i>
      <x v="4"/>
    </i>
    <i>
      <x v="5"/>
    </i>
    <i>
      <x v="6"/>
    </i>
    <i t="grand">
      <x/>
    </i>
  </rowItems>
  <colFields count="1">
    <field x="-2"/>
  </colFields>
  <colItems count="2">
    <i>
      <x/>
    </i>
    <i i="1">
      <x v="1"/>
    </i>
  </colItems>
  <dataFields count="2">
    <dataField name="Sum of Revenue" fld="5" baseField="0" baseItem="0"/>
    <dataField name="Sum of Profit" fld="7"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ED6BB-B92A-4C04-AA97-52129EC8A3D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9">
    <pivotField showAll="0"/>
    <pivotField numFmtId="14" showAll="0"/>
    <pivotField axis="axisRow" showAll="0">
      <items count="8">
        <item x="6"/>
        <item x="4"/>
        <item x="0"/>
        <item x="1"/>
        <item x="2"/>
        <item x="5"/>
        <item x="3"/>
        <item t="default"/>
      </items>
    </pivotField>
    <pivotField showAll="0"/>
    <pivotField showAll="0"/>
    <pivotField showAll="0"/>
    <pivotField showAll="0"/>
    <pivotField dataField="1" showAll="0"/>
    <pivotField showAll="0"/>
  </pivotFields>
  <rowFields count="1">
    <field x="2"/>
  </rowFields>
  <rowItems count="8">
    <i>
      <x/>
    </i>
    <i>
      <x v="1"/>
    </i>
    <i>
      <x v="2"/>
    </i>
    <i>
      <x v="3"/>
    </i>
    <i>
      <x v="4"/>
    </i>
    <i>
      <x v="5"/>
    </i>
    <i>
      <x v="6"/>
    </i>
    <i t="grand">
      <x/>
    </i>
  </rowItems>
  <colItems count="1">
    <i/>
  </colItems>
  <dataFields count="1">
    <dataField name="Sum of Profit" fld="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398445-B82A-40C4-A5A5-37EF63EA26D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9">
    <pivotField showAll="0"/>
    <pivotField numFmtId="14" showAll="0"/>
    <pivotField axis="axisRow" showAll="0">
      <items count="8">
        <item x="6"/>
        <item x="4"/>
        <item x="0"/>
        <item x="1"/>
        <item x="2"/>
        <item x="5"/>
        <item x="3"/>
        <item t="default"/>
      </items>
    </pivotField>
    <pivotField showAll="0"/>
    <pivotField showAll="0"/>
    <pivotField dataField="1"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Revenue" fld="5" baseField="0" baseItem="0"/>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2"/>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 chart="2" format="6">
      <pivotArea type="data" outline="0" fieldPosition="0">
        <references count="2">
          <reference field="4294967294" count="1" selected="0">
            <x v="0"/>
          </reference>
          <reference field="2" count="1" selected="0">
            <x v="6"/>
          </reference>
        </references>
      </pivotArea>
    </chartFormat>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2" count="1" selected="0">
            <x v="0"/>
          </reference>
        </references>
      </pivotArea>
    </chartFormat>
    <chartFormat chart="4" format="17">
      <pivotArea type="data" outline="0" fieldPosition="0">
        <references count="2">
          <reference field="4294967294" count="1" selected="0">
            <x v="0"/>
          </reference>
          <reference field="2" count="1" selected="0">
            <x v="1"/>
          </reference>
        </references>
      </pivotArea>
    </chartFormat>
    <chartFormat chart="4" format="18">
      <pivotArea type="data" outline="0" fieldPosition="0">
        <references count="2">
          <reference field="4294967294" count="1" selected="0">
            <x v="0"/>
          </reference>
          <reference field="2" count="1" selected="0">
            <x v="2"/>
          </reference>
        </references>
      </pivotArea>
    </chartFormat>
    <chartFormat chart="4" format="19">
      <pivotArea type="data" outline="0" fieldPosition="0">
        <references count="2">
          <reference field="4294967294" count="1" selected="0">
            <x v="0"/>
          </reference>
          <reference field="2" count="1" selected="0">
            <x v="3"/>
          </reference>
        </references>
      </pivotArea>
    </chartFormat>
    <chartFormat chart="4" format="20">
      <pivotArea type="data" outline="0" fieldPosition="0">
        <references count="2">
          <reference field="4294967294" count="1" selected="0">
            <x v="0"/>
          </reference>
          <reference field="2" count="1" selected="0">
            <x v="4"/>
          </reference>
        </references>
      </pivotArea>
    </chartFormat>
    <chartFormat chart="4" format="21">
      <pivotArea type="data" outline="0" fieldPosition="0">
        <references count="2">
          <reference field="4294967294" count="1" selected="0">
            <x v="0"/>
          </reference>
          <reference field="2" count="1" selected="0">
            <x v="5"/>
          </reference>
        </references>
      </pivotArea>
    </chartFormat>
    <chartFormat chart="4" format="22">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90303D5-7706-401C-813C-179D5A545020}" sourceName="Product">
  <pivotTables>
    <pivotTable tabId="4" name="PivotTable3"/>
    <pivotTable tabId="5" name="PivotTable4"/>
    <pivotTable tabId="7" name="PivotTable5"/>
  </pivotTables>
  <data>
    <tabular pivotCacheId="1754764560">
      <items count="7">
        <i x="6" s="1"/>
        <i x="4" s="1"/>
        <i x="0" s="1"/>
        <i x="1" s="1"/>
        <i x="2"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9E81793-84A6-4669-9A46-84F36E22BAF6}" cache="Slicer_Product" caption="Product" columnCount="2" style="SlicerStyleOther2"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3A153-9449-4AB0-9AD7-663DF052ED01}" name="Table1" displayName="Table1" ref="A1:I21" totalsRowShown="0">
  <autoFilter ref="A1:I21" xr:uid="{5373A153-9449-4AB0-9AD7-663DF052ED01}"/>
  <tableColumns count="9">
    <tableColumn id="1" xr3:uid="{39913F43-0B24-4EF5-8AF9-ADD19C351396}" name="Order_ID"/>
    <tableColumn id="2" xr3:uid="{3F989CB4-1FC4-44E0-A277-6DDEA688F36F}" name="Order_Date" dataDxfId="1"/>
    <tableColumn id="3" xr3:uid="{EA9A1D79-850C-42F6-8060-093652119AE2}" name="Product"/>
    <tableColumn id="4" xr3:uid="{2A442324-C4A3-486E-9B97-1A10B6219190}" name="Quantity"/>
    <tableColumn id="5" xr3:uid="{466172D1-2A28-4E64-84F7-9A3CAB95E1D8}" name="Unit_Price"/>
    <tableColumn id="6" xr3:uid="{41875055-816B-4E91-A7D6-69C1723A8562}" name="Revenue"/>
    <tableColumn id="7" xr3:uid="{E3211A10-E98E-4AB8-9FD5-E03772A1D3AD}" name="Total_Cost"/>
    <tableColumn id="8" xr3:uid="{782A4F0F-C43B-45BB-B05F-0C1EC9A0D4BA}" name="Profit"/>
    <tableColumn id="9" xr3:uid="{348B0E9B-D823-4F5B-9FA6-588AAEE818D3}" name="Profit_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64DC-C22C-4277-9938-762AA3DFBDB6}">
  <dimension ref="A1:I21"/>
  <sheetViews>
    <sheetView topLeftCell="A4" zoomScale="89" zoomScaleNormal="89" workbookViewId="0">
      <selection activeCell="K11" sqref="K11"/>
    </sheetView>
  </sheetViews>
  <sheetFormatPr defaultRowHeight="14.5" x14ac:dyDescent="0.35"/>
  <cols>
    <col min="1" max="1" width="10.54296875" customWidth="1"/>
    <col min="2" max="2" width="12.7265625" customWidth="1"/>
    <col min="3" max="3" width="9.453125" customWidth="1"/>
    <col min="4" max="4" width="10.1796875" customWidth="1"/>
    <col min="5" max="5" width="11.453125" customWidth="1"/>
    <col min="6" max="6" width="10" customWidth="1"/>
    <col min="7" max="7" width="11.81640625" customWidth="1"/>
    <col min="9" max="9" width="14.453125" customWidth="1"/>
  </cols>
  <sheetData>
    <row r="1" spans="1:9" x14ac:dyDescent="0.35">
      <c r="A1" t="s">
        <v>0</v>
      </c>
      <c r="B1" t="s">
        <v>1</v>
      </c>
      <c r="C1" t="s">
        <v>2</v>
      </c>
      <c r="D1" t="s">
        <v>3</v>
      </c>
      <c r="E1" t="s">
        <v>4</v>
      </c>
      <c r="F1" t="s">
        <v>5</v>
      </c>
      <c r="G1" t="s">
        <v>6</v>
      </c>
      <c r="H1" t="s">
        <v>7</v>
      </c>
      <c r="I1" t="s">
        <v>8</v>
      </c>
    </row>
    <row r="2" spans="1:9" x14ac:dyDescent="0.35">
      <c r="A2">
        <v>1001</v>
      </c>
      <c r="B2" s="1">
        <v>46027</v>
      </c>
      <c r="C2" t="s">
        <v>9</v>
      </c>
      <c r="D2">
        <v>2</v>
      </c>
      <c r="E2">
        <v>500</v>
      </c>
      <c r="F2">
        <v>1000</v>
      </c>
      <c r="G2">
        <v>700</v>
      </c>
      <c r="H2">
        <v>300</v>
      </c>
      <c r="I2" s="2">
        <v>0.3</v>
      </c>
    </row>
    <row r="3" spans="1:9" x14ac:dyDescent="0.35">
      <c r="A3">
        <v>1002</v>
      </c>
      <c r="B3" s="1">
        <v>46148</v>
      </c>
      <c r="C3" t="s">
        <v>10</v>
      </c>
      <c r="D3">
        <v>3</v>
      </c>
      <c r="E3">
        <v>600</v>
      </c>
      <c r="F3">
        <v>1800</v>
      </c>
      <c r="G3">
        <v>1350</v>
      </c>
      <c r="H3">
        <v>450</v>
      </c>
      <c r="I3" s="2">
        <v>0.25</v>
      </c>
    </row>
    <row r="4" spans="1:9" x14ac:dyDescent="0.35">
      <c r="A4">
        <v>1003</v>
      </c>
      <c r="B4" s="1">
        <v>46119</v>
      </c>
      <c r="C4" t="s">
        <v>11</v>
      </c>
      <c r="D4">
        <v>2</v>
      </c>
      <c r="E4">
        <v>750</v>
      </c>
      <c r="F4">
        <v>1500</v>
      </c>
      <c r="G4">
        <v>1050</v>
      </c>
      <c r="H4">
        <v>450</v>
      </c>
      <c r="I4" s="2">
        <v>0.3</v>
      </c>
    </row>
    <row r="5" spans="1:9" x14ac:dyDescent="0.35">
      <c r="A5">
        <v>1004</v>
      </c>
      <c r="B5" s="1">
        <v>46030</v>
      </c>
      <c r="C5" t="s">
        <v>12</v>
      </c>
      <c r="D5">
        <v>10</v>
      </c>
      <c r="E5">
        <v>20</v>
      </c>
      <c r="F5">
        <v>200</v>
      </c>
      <c r="G5">
        <v>100</v>
      </c>
      <c r="H5">
        <v>100</v>
      </c>
      <c r="I5" s="2">
        <v>0.5</v>
      </c>
    </row>
    <row r="6" spans="1:9" x14ac:dyDescent="0.35">
      <c r="A6">
        <v>1005</v>
      </c>
      <c r="B6" s="1">
        <v>46031</v>
      </c>
      <c r="C6" t="s">
        <v>13</v>
      </c>
      <c r="D6">
        <v>5</v>
      </c>
      <c r="E6">
        <v>40</v>
      </c>
      <c r="F6">
        <v>200</v>
      </c>
      <c r="G6">
        <v>120</v>
      </c>
      <c r="H6">
        <v>80</v>
      </c>
      <c r="I6" s="2">
        <v>0.4</v>
      </c>
    </row>
    <row r="7" spans="1:9" x14ac:dyDescent="0.35">
      <c r="A7">
        <v>1006</v>
      </c>
      <c r="B7" s="1">
        <v>46091</v>
      </c>
      <c r="C7" t="s">
        <v>14</v>
      </c>
      <c r="D7">
        <v>3</v>
      </c>
      <c r="E7">
        <v>150</v>
      </c>
      <c r="F7">
        <v>450</v>
      </c>
      <c r="G7">
        <v>300</v>
      </c>
      <c r="H7">
        <v>150</v>
      </c>
      <c r="I7" t="s">
        <v>15</v>
      </c>
    </row>
    <row r="8" spans="1:9" x14ac:dyDescent="0.35">
      <c r="A8">
        <v>1007</v>
      </c>
      <c r="B8" s="1">
        <v>46033</v>
      </c>
      <c r="C8" t="s">
        <v>16</v>
      </c>
      <c r="D8">
        <v>4</v>
      </c>
      <c r="E8">
        <v>80</v>
      </c>
      <c r="F8">
        <v>320</v>
      </c>
      <c r="G8">
        <v>200</v>
      </c>
      <c r="H8">
        <v>120</v>
      </c>
      <c r="I8" t="s">
        <v>17</v>
      </c>
    </row>
    <row r="9" spans="1:9" x14ac:dyDescent="0.35">
      <c r="A9">
        <v>1008</v>
      </c>
      <c r="B9" s="1">
        <v>46246</v>
      </c>
      <c r="C9" t="s">
        <v>9</v>
      </c>
      <c r="D9">
        <v>1</v>
      </c>
      <c r="E9">
        <v>500</v>
      </c>
      <c r="F9">
        <v>500</v>
      </c>
      <c r="G9">
        <v>350</v>
      </c>
      <c r="H9">
        <v>150</v>
      </c>
      <c r="I9" s="2">
        <v>0.3</v>
      </c>
    </row>
    <row r="10" spans="1:9" x14ac:dyDescent="0.35">
      <c r="A10">
        <v>1009</v>
      </c>
      <c r="B10" s="1">
        <v>46035</v>
      </c>
      <c r="C10" t="s">
        <v>12</v>
      </c>
      <c r="D10">
        <v>8</v>
      </c>
      <c r="E10">
        <v>20</v>
      </c>
      <c r="F10">
        <v>160</v>
      </c>
      <c r="G10">
        <v>80</v>
      </c>
      <c r="H10">
        <v>80</v>
      </c>
      <c r="I10" s="2">
        <v>0.5</v>
      </c>
    </row>
    <row r="11" spans="1:9" x14ac:dyDescent="0.35">
      <c r="A11">
        <v>1010</v>
      </c>
      <c r="B11" s="1">
        <v>46187</v>
      </c>
      <c r="C11" t="s">
        <v>14</v>
      </c>
      <c r="D11">
        <v>2</v>
      </c>
      <c r="E11">
        <v>150</v>
      </c>
      <c r="F11">
        <v>300</v>
      </c>
      <c r="G11">
        <v>200</v>
      </c>
      <c r="H11">
        <v>100</v>
      </c>
      <c r="I11" t="s">
        <v>15</v>
      </c>
    </row>
    <row r="12" spans="1:9" x14ac:dyDescent="0.35">
      <c r="A12">
        <v>1011</v>
      </c>
      <c r="B12" s="1">
        <v>46037</v>
      </c>
      <c r="C12" t="s">
        <v>10</v>
      </c>
      <c r="D12">
        <v>1</v>
      </c>
      <c r="E12">
        <v>600</v>
      </c>
      <c r="F12">
        <v>600</v>
      </c>
      <c r="G12">
        <v>450</v>
      </c>
      <c r="H12">
        <v>150</v>
      </c>
      <c r="I12" s="2">
        <v>0.25</v>
      </c>
    </row>
    <row r="13" spans="1:9" x14ac:dyDescent="0.35">
      <c r="A13">
        <v>1012</v>
      </c>
      <c r="B13" s="1">
        <v>46128</v>
      </c>
      <c r="C13" t="s">
        <v>13</v>
      </c>
      <c r="D13">
        <v>7</v>
      </c>
      <c r="E13">
        <v>40</v>
      </c>
      <c r="F13">
        <v>280</v>
      </c>
      <c r="G13">
        <v>168</v>
      </c>
      <c r="H13">
        <v>112</v>
      </c>
      <c r="I13" s="2">
        <v>0.4</v>
      </c>
    </row>
    <row r="14" spans="1:9" x14ac:dyDescent="0.35">
      <c r="A14">
        <v>1013</v>
      </c>
      <c r="B14" s="1">
        <v>46070</v>
      </c>
      <c r="C14" t="s">
        <v>16</v>
      </c>
      <c r="D14">
        <v>6</v>
      </c>
      <c r="E14">
        <v>80</v>
      </c>
      <c r="F14">
        <v>480</v>
      </c>
      <c r="G14">
        <v>300</v>
      </c>
      <c r="H14">
        <v>180</v>
      </c>
      <c r="I14" t="s">
        <v>17</v>
      </c>
    </row>
    <row r="15" spans="1:9" x14ac:dyDescent="0.35">
      <c r="A15">
        <v>1014</v>
      </c>
      <c r="B15" s="1">
        <v>46040</v>
      </c>
      <c r="C15" t="s">
        <v>11</v>
      </c>
      <c r="D15">
        <v>1</v>
      </c>
      <c r="E15">
        <v>750</v>
      </c>
      <c r="F15">
        <v>750</v>
      </c>
      <c r="G15">
        <v>525</v>
      </c>
      <c r="H15">
        <v>225</v>
      </c>
      <c r="I15" s="2">
        <v>0.3</v>
      </c>
    </row>
    <row r="16" spans="1:9" x14ac:dyDescent="0.35">
      <c r="A16">
        <v>1015</v>
      </c>
      <c r="B16" s="1">
        <v>46314</v>
      </c>
      <c r="C16" t="s">
        <v>12</v>
      </c>
      <c r="D16">
        <v>12</v>
      </c>
      <c r="E16">
        <v>20</v>
      </c>
      <c r="F16">
        <v>240</v>
      </c>
      <c r="G16">
        <v>120</v>
      </c>
      <c r="H16">
        <v>120</v>
      </c>
      <c r="I16" s="2">
        <v>0.5</v>
      </c>
    </row>
    <row r="17" spans="1:9" x14ac:dyDescent="0.35">
      <c r="A17">
        <v>1016</v>
      </c>
      <c r="B17" s="1">
        <v>46042</v>
      </c>
      <c r="C17" t="s">
        <v>14</v>
      </c>
      <c r="D17">
        <v>4</v>
      </c>
      <c r="E17">
        <v>150</v>
      </c>
      <c r="F17">
        <v>600</v>
      </c>
      <c r="G17">
        <v>400</v>
      </c>
      <c r="H17">
        <v>200</v>
      </c>
      <c r="I17" t="s">
        <v>15</v>
      </c>
    </row>
    <row r="18" spans="1:9" x14ac:dyDescent="0.35">
      <c r="A18">
        <v>1017</v>
      </c>
      <c r="B18" s="1">
        <v>46194</v>
      </c>
      <c r="C18" t="s">
        <v>9</v>
      </c>
      <c r="D18">
        <v>1</v>
      </c>
      <c r="E18">
        <v>500</v>
      </c>
      <c r="F18">
        <v>500</v>
      </c>
      <c r="G18">
        <v>350</v>
      </c>
      <c r="H18">
        <v>150</v>
      </c>
      <c r="I18" s="2">
        <v>0.3</v>
      </c>
    </row>
    <row r="19" spans="1:9" x14ac:dyDescent="0.35">
      <c r="A19">
        <v>1018</v>
      </c>
      <c r="B19" s="1">
        <v>46103</v>
      </c>
      <c r="C19" t="s">
        <v>13</v>
      </c>
      <c r="D19">
        <v>3</v>
      </c>
      <c r="E19">
        <v>40</v>
      </c>
      <c r="F19">
        <v>120</v>
      </c>
      <c r="G19">
        <v>72</v>
      </c>
      <c r="H19">
        <v>48</v>
      </c>
      <c r="I19" s="2">
        <v>0.4</v>
      </c>
    </row>
    <row r="20" spans="1:9" x14ac:dyDescent="0.35">
      <c r="A20">
        <v>1019</v>
      </c>
      <c r="B20" s="1">
        <v>46135</v>
      </c>
      <c r="C20" t="s">
        <v>10</v>
      </c>
      <c r="D20">
        <v>2</v>
      </c>
      <c r="E20">
        <v>600</v>
      </c>
      <c r="F20">
        <v>1200</v>
      </c>
      <c r="G20">
        <v>900</v>
      </c>
      <c r="H20">
        <v>300</v>
      </c>
      <c r="I20" s="2">
        <v>0.25</v>
      </c>
    </row>
    <row r="21" spans="1:9" x14ac:dyDescent="0.35">
      <c r="A21">
        <v>1020</v>
      </c>
      <c r="B21" s="1">
        <v>46046</v>
      </c>
      <c r="C21" t="s">
        <v>16</v>
      </c>
      <c r="D21">
        <v>2</v>
      </c>
      <c r="E21">
        <v>80</v>
      </c>
      <c r="F21">
        <v>160</v>
      </c>
      <c r="G21">
        <v>100</v>
      </c>
      <c r="H21">
        <v>60</v>
      </c>
      <c r="I2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F3E4-2F41-4578-B90F-EA6A794A68D8}">
  <dimension ref="A1:E6"/>
  <sheetViews>
    <sheetView workbookViewId="0">
      <selection activeCell="D1" sqref="D1:E5"/>
    </sheetView>
  </sheetViews>
  <sheetFormatPr defaultRowHeight="14.5" x14ac:dyDescent="0.35"/>
  <sheetData>
    <row r="1" spans="1:5" ht="29" x14ac:dyDescent="0.35">
      <c r="A1" t="s">
        <v>18</v>
      </c>
      <c r="B1" t="s">
        <v>19</v>
      </c>
      <c r="D1" s="20" t="s">
        <v>34</v>
      </c>
      <c r="E1" s="22" t="s">
        <v>20</v>
      </c>
    </row>
    <row r="2" spans="1:5" x14ac:dyDescent="0.35">
      <c r="A2" t="s">
        <v>20</v>
      </c>
      <c r="B2">
        <f>SUM(Table1[Revenue])</f>
        <v>11360</v>
      </c>
      <c r="D2" s="23">
        <v>46023</v>
      </c>
      <c r="E2" s="21">
        <f>SUMIFS(Order!$F:$F,Order!$B:$B,"&gt;="&amp;DATE(2026,1,1),Order!$B:$B,"&lt;"&amp;DATE(2026,2,1))</f>
        <v>3990</v>
      </c>
    </row>
    <row r="3" spans="1:5" x14ac:dyDescent="0.35">
      <c r="A3" t="s">
        <v>21</v>
      </c>
      <c r="B3">
        <f>SUM(Table1[Total_Cost])</f>
        <v>7835</v>
      </c>
      <c r="D3" s="23">
        <v>46054</v>
      </c>
      <c r="E3" s="21">
        <f>SUMIFS(Order!$F:$F,Order!$B:$B,"&gt;="&amp;DATE(2026,2,1),Order!$B:$B,"&lt;"&amp;DATE(2026,3,1))</f>
        <v>480</v>
      </c>
    </row>
    <row r="4" spans="1:5" x14ac:dyDescent="0.35">
      <c r="A4" t="s">
        <v>22</v>
      </c>
      <c r="B4">
        <f>SUM(Table1[Profit])</f>
        <v>3525</v>
      </c>
      <c r="D4" s="23">
        <v>46082</v>
      </c>
      <c r="E4" s="21">
        <f>SUMIFS(Order!$F:$F,Order!$B:$B,"&gt;="&amp;DATE(2026,3,1),Order!$B:$B,"&lt;"&amp;DATE(2026,4,1))</f>
        <v>570</v>
      </c>
    </row>
    <row r="5" spans="1:5" x14ac:dyDescent="0.35">
      <c r="A5" t="s">
        <v>23</v>
      </c>
      <c r="B5" s="2">
        <f>IFERROR(B4/B2,0)</f>
        <v>0.31029929577464788</v>
      </c>
      <c r="D5" s="23">
        <v>46113</v>
      </c>
      <c r="E5" s="21">
        <f>SUMIFS(Order!$F:$F,Order!$B:$B,"&gt;="&amp;DATE(2026,4,1),Order!$B:$B,"&lt;"&amp;DATE(2026,5,1))</f>
        <v>2980</v>
      </c>
    </row>
    <row r="6" spans="1:5" x14ac:dyDescent="0.35">
      <c r="A6" t="s">
        <v>24</v>
      </c>
      <c r="B6">
        <f>COUNTA(Table1[Order_ID])</f>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2AD01-23B0-4966-A5CB-7D3DDE5A7A70}">
  <sheetPr>
    <pageSetUpPr autoPageBreaks="0" fitToPage="1"/>
  </sheetPr>
  <dimension ref="B1:M24"/>
  <sheetViews>
    <sheetView showGridLines="0" tabSelected="1" topLeftCell="A19" zoomScaleNormal="100" workbookViewId="0">
      <selection activeCell="R22" sqref="R22"/>
    </sheetView>
  </sheetViews>
  <sheetFormatPr defaultRowHeight="14.5" x14ac:dyDescent="0.35"/>
  <cols>
    <col min="8" max="8" width="12.90625" bestFit="1" customWidth="1"/>
  </cols>
  <sheetData>
    <row r="1" spans="2:13" ht="21" customHeight="1" x14ac:dyDescent="0.4">
      <c r="B1" s="25" t="s">
        <v>25</v>
      </c>
      <c r="C1" s="25"/>
      <c r="D1" s="25"/>
      <c r="E1" s="25"/>
      <c r="F1" s="25"/>
      <c r="G1" s="25"/>
      <c r="H1" s="25"/>
      <c r="I1" s="25"/>
      <c r="J1" s="25"/>
      <c r="K1" s="25"/>
      <c r="L1" s="25"/>
      <c r="M1" s="25"/>
    </row>
    <row r="2" spans="2:13" ht="21" customHeight="1" x14ac:dyDescent="0.4">
      <c r="B2" s="11"/>
      <c r="C2" s="11"/>
      <c r="D2" s="11"/>
      <c r="E2" s="11"/>
      <c r="F2" s="11"/>
      <c r="G2" s="11"/>
      <c r="H2" s="11"/>
      <c r="I2" s="11"/>
      <c r="J2" s="11"/>
      <c r="K2" s="11"/>
      <c r="L2" s="11"/>
      <c r="M2" s="11"/>
    </row>
    <row r="3" spans="2:13" x14ac:dyDescent="0.35">
      <c r="B3" s="12"/>
      <c r="C3" s="12"/>
      <c r="D3" s="12"/>
      <c r="E3" s="12"/>
      <c r="F3" s="12"/>
      <c r="G3" s="12"/>
      <c r="H3" s="12"/>
      <c r="I3" s="12"/>
      <c r="J3" s="12"/>
      <c r="K3" s="12"/>
      <c r="L3" s="12"/>
      <c r="M3" s="12"/>
    </row>
    <row r="4" spans="2:13" ht="21.5" x14ac:dyDescent="0.6">
      <c r="B4" s="15"/>
      <c r="C4" s="16"/>
      <c r="D4" s="27" t="s">
        <v>21</v>
      </c>
      <c r="E4" s="27"/>
      <c r="F4" s="7" t="s">
        <v>22</v>
      </c>
      <c r="G4" s="7"/>
      <c r="H4" s="8" t="s">
        <v>23</v>
      </c>
      <c r="I4" s="5"/>
      <c r="J4" s="14" t="s">
        <v>20</v>
      </c>
      <c r="K4" s="13"/>
    </row>
    <row r="5" spans="2:13" ht="18.5" x14ac:dyDescent="0.45">
      <c r="B5" s="26"/>
      <c r="C5" s="26"/>
      <c r="D5" s="28">
        <f>SUM(Table1[Total_Cost])</f>
        <v>7835</v>
      </c>
      <c r="E5" s="28"/>
      <c r="F5" s="9">
        <f>SUM(Table1[Profit])</f>
        <v>3525</v>
      </c>
      <c r="G5" s="9"/>
      <c r="H5" s="10">
        <f>IFERROR(F5/J5,2)</f>
        <v>0.31029929577464788</v>
      </c>
      <c r="I5" s="6"/>
      <c r="J5" s="29">
        <f>SUM(Table1[Revenue])</f>
        <v>11360</v>
      </c>
      <c r="K5" s="29"/>
    </row>
    <row r="21" spans="2:7" ht="28" x14ac:dyDescent="0.8">
      <c r="B21" s="24" t="s">
        <v>30</v>
      </c>
      <c r="C21" s="24"/>
      <c r="D21" s="24"/>
      <c r="E21" s="24"/>
      <c r="F21" s="36"/>
      <c r="G21" s="38"/>
    </row>
    <row r="22" spans="2:7" ht="25" x14ac:dyDescent="0.7">
      <c r="B22" s="17" t="s">
        <v>31</v>
      </c>
      <c r="C22" s="18"/>
      <c r="D22" s="18"/>
      <c r="E22" s="18"/>
      <c r="F22" s="34"/>
      <c r="G22" s="37"/>
    </row>
    <row r="23" spans="2:7" ht="25" x14ac:dyDescent="0.7">
      <c r="B23" s="17" t="s">
        <v>32</v>
      </c>
      <c r="C23" s="18"/>
      <c r="D23" s="18"/>
      <c r="E23" s="18"/>
      <c r="F23" s="31"/>
      <c r="G23" s="35"/>
    </row>
    <row r="24" spans="2:7" ht="25" x14ac:dyDescent="0.7">
      <c r="B24" s="17" t="s">
        <v>33</v>
      </c>
      <c r="C24" s="18"/>
      <c r="D24" s="19" t="s">
        <v>35</v>
      </c>
      <c r="E24" s="30"/>
      <c r="F24" s="33" t="s">
        <v>36</v>
      </c>
      <c r="G24" s="32"/>
    </row>
  </sheetData>
  <mergeCells count="6">
    <mergeCell ref="B21:F21"/>
    <mergeCell ref="B1:M1"/>
    <mergeCell ref="B5:C5"/>
    <mergeCell ref="D4:E4"/>
    <mergeCell ref="D5:E5"/>
    <mergeCell ref="J5:K5"/>
  </mergeCells>
  <pageMargins left="0.7" right="0.7" top="0.75" bottom="0.75" header="0.3" footer="0.3"/>
  <pageSetup paperSize="9" fitToHeight="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02253-4D94-4331-8DCF-5F083E8D9E15}">
  <dimension ref="A3:C11"/>
  <sheetViews>
    <sheetView workbookViewId="0">
      <selection activeCell="F28" sqref="F28"/>
    </sheetView>
  </sheetViews>
  <sheetFormatPr defaultRowHeight="14.5" x14ac:dyDescent="0.35"/>
  <cols>
    <col min="1" max="1" width="12.36328125" bestFit="1" customWidth="1"/>
    <col min="2" max="2" width="14.36328125" bestFit="1" customWidth="1"/>
    <col min="3" max="3" width="11.81640625" bestFit="1" customWidth="1"/>
  </cols>
  <sheetData>
    <row r="3" spans="1:3" x14ac:dyDescent="0.35">
      <c r="A3" s="3" t="s">
        <v>26</v>
      </c>
      <c r="B3" t="s">
        <v>29</v>
      </c>
      <c r="C3" t="s">
        <v>28</v>
      </c>
    </row>
    <row r="4" spans="1:3" x14ac:dyDescent="0.35">
      <c r="A4" s="4" t="s">
        <v>16</v>
      </c>
      <c r="B4">
        <v>960</v>
      </c>
      <c r="C4">
        <v>360</v>
      </c>
    </row>
    <row r="5" spans="1:3" x14ac:dyDescent="0.35">
      <c r="A5" s="4" t="s">
        <v>13</v>
      </c>
      <c r="B5">
        <v>600</v>
      </c>
      <c r="C5">
        <v>240</v>
      </c>
    </row>
    <row r="6" spans="1:3" x14ac:dyDescent="0.35">
      <c r="A6" s="4" t="s">
        <v>9</v>
      </c>
      <c r="B6">
        <v>2000</v>
      </c>
      <c r="C6">
        <v>600</v>
      </c>
    </row>
    <row r="7" spans="1:3" x14ac:dyDescent="0.35">
      <c r="A7" s="4" t="s">
        <v>10</v>
      </c>
      <c r="B7">
        <v>3600</v>
      </c>
      <c r="C7">
        <v>900</v>
      </c>
    </row>
    <row r="8" spans="1:3" x14ac:dyDescent="0.35">
      <c r="A8" s="4" t="s">
        <v>11</v>
      </c>
      <c r="B8">
        <v>2250</v>
      </c>
      <c r="C8">
        <v>675</v>
      </c>
    </row>
    <row r="9" spans="1:3" x14ac:dyDescent="0.35">
      <c r="A9" s="4" t="s">
        <v>14</v>
      </c>
      <c r="B9">
        <v>1350</v>
      </c>
      <c r="C9">
        <v>450</v>
      </c>
    </row>
    <row r="10" spans="1:3" x14ac:dyDescent="0.35">
      <c r="A10" s="4" t="s">
        <v>12</v>
      </c>
      <c r="B10">
        <v>600</v>
      </c>
      <c r="C10">
        <v>300</v>
      </c>
    </row>
    <row r="11" spans="1:3" x14ac:dyDescent="0.35">
      <c r="A11" s="4" t="s">
        <v>27</v>
      </c>
      <c r="B11">
        <v>11360</v>
      </c>
      <c r="C11">
        <v>3525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998D-0924-49E4-B30D-319FC1197FF1}">
  <dimension ref="A3:B11"/>
  <sheetViews>
    <sheetView workbookViewId="0">
      <selection activeCell="A4" sqref="A4"/>
    </sheetView>
  </sheetViews>
  <sheetFormatPr defaultRowHeight="14.5" x14ac:dyDescent="0.35"/>
  <cols>
    <col min="1" max="1" width="12.36328125" bestFit="1" customWidth="1"/>
    <col min="2" max="2" width="11.81640625" bestFit="1" customWidth="1"/>
  </cols>
  <sheetData>
    <row r="3" spans="1:2" x14ac:dyDescent="0.35">
      <c r="A3" s="3" t="s">
        <v>26</v>
      </c>
      <c r="B3" t="s">
        <v>28</v>
      </c>
    </row>
    <row r="4" spans="1:2" x14ac:dyDescent="0.35">
      <c r="A4" s="4" t="s">
        <v>16</v>
      </c>
      <c r="B4">
        <v>360</v>
      </c>
    </row>
    <row r="5" spans="1:2" x14ac:dyDescent="0.35">
      <c r="A5" s="4" t="s">
        <v>13</v>
      </c>
      <c r="B5">
        <v>240</v>
      </c>
    </row>
    <row r="6" spans="1:2" x14ac:dyDescent="0.35">
      <c r="A6" s="4" t="s">
        <v>9</v>
      </c>
      <c r="B6">
        <v>600</v>
      </c>
    </row>
    <row r="7" spans="1:2" x14ac:dyDescent="0.35">
      <c r="A7" s="4" t="s">
        <v>10</v>
      </c>
      <c r="B7">
        <v>900</v>
      </c>
    </row>
    <row r="8" spans="1:2" x14ac:dyDescent="0.35">
      <c r="A8" s="4" t="s">
        <v>11</v>
      </c>
      <c r="B8">
        <v>675</v>
      </c>
    </row>
    <row r="9" spans="1:2" x14ac:dyDescent="0.35">
      <c r="A9" s="4" t="s">
        <v>14</v>
      </c>
      <c r="B9">
        <v>450</v>
      </c>
    </row>
    <row r="10" spans="1:2" x14ac:dyDescent="0.35">
      <c r="A10" s="4" t="s">
        <v>12</v>
      </c>
      <c r="B10">
        <v>300</v>
      </c>
    </row>
    <row r="11" spans="1:2" x14ac:dyDescent="0.35">
      <c r="A11" s="4" t="s">
        <v>27</v>
      </c>
      <c r="B11">
        <v>3525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BB210-6F5F-4CFF-890D-BEF190845411}">
  <dimension ref="A3:B11"/>
  <sheetViews>
    <sheetView workbookViewId="0">
      <selection activeCell="A5" sqref="A5"/>
    </sheetView>
  </sheetViews>
  <sheetFormatPr defaultRowHeight="14.5" x14ac:dyDescent="0.35"/>
  <cols>
    <col min="1" max="1" width="12.36328125" bestFit="1" customWidth="1"/>
    <col min="2" max="2" width="14.36328125" bestFit="1" customWidth="1"/>
  </cols>
  <sheetData>
    <row r="3" spans="1:2" x14ac:dyDescent="0.35">
      <c r="A3" s="3" t="s">
        <v>26</v>
      </c>
      <c r="B3" t="s">
        <v>29</v>
      </c>
    </row>
    <row r="4" spans="1:2" x14ac:dyDescent="0.35">
      <c r="A4" s="4" t="s">
        <v>16</v>
      </c>
      <c r="B4">
        <v>960</v>
      </c>
    </row>
    <row r="5" spans="1:2" x14ac:dyDescent="0.35">
      <c r="A5" s="4" t="s">
        <v>13</v>
      </c>
      <c r="B5">
        <v>600</v>
      </c>
    </row>
    <row r="6" spans="1:2" x14ac:dyDescent="0.35">
      <c r="A6" s="4" t="s">
        <v>9</v>
      </c>
      <c r="B6">
        <v>2000</v>
      </c>
    </row>
    <row r="7" spans="1:2" x14ac:dyDescent="0.35">
      <c r="A7" s="4" t="s">
        <v>10</v>
      </c>
      <c r="B7">
        <v>3600</v>
      </c>
    </row>
    <row r="8" spans="1:2" x14ac:dyDescent="0.35">
      <c r="A8" s="4" t="s">
        <v>11</v>
      </c>
      <c r="B8">
        <v>2250</v>
      </c>
    </row>
    <row r="9" spans="1:2" x14ac:dyDescent="0.35">
      <c r="A9" s="4" t="s">
        <v>14</v>
      </c>
      <c r="B9">
        <v>1350</v>
      </c>
    </row>
    <row r="10" spans="1:2" x14ac:dyDescent="0.35">
      <c r="A10" s="4" t="s">
        <v>12</v>
      </c>
      <c r="B10">
        <v>600</v>
      </c>
    </row>
    <row r="11" spans="1:2" x14ac:dyDescent="0.35">
      <c r="A11" s="4" t="s">
        <v>27</v>
      </c>
      <c r="B11">
        <v>11360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Order</vt:lpstr>
      <vt:lpstr>Analaysis</vt:lpstr>
      <vt:lpstr>Dashboard</vt:lpstr>
      <vt:lpstr>pivot_product</vt:lpstr>
      <vt:lpstr>pivot_profit</vt:lpstr>
      <vt:lpstr>pivot_revnue</vt:lpstr>
      <vt:lpstr>Dashboard!Print_Area</vt:lpstr>
    </vt:vector>
  </TitlesOfParts>
  <Company>JB-Team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mobina farhadi</dc:creator>
  <cp:lastModifiedBy>mobina farhadi</cp:lastModifiedBy>
  <cp:lastPrinted>2026-10-17T18:59:55Z</cp:lastPrinted>
  <dcterms:created xsi:type="dcterms:W3CDTF">2026-10-16T14:32:37Z</dcterms:created>
  <dcterms:modified xsi:type="dcterms:W3CDTF">2026-10-17T19:21:51Z</dcterms:modified>
</cp:coreProperties>
</file>